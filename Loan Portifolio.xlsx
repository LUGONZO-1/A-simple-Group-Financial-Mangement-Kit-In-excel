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gogroup-my.sharepoint.com/personal/isaac_lugonzo_mogo_co_ke/Documents/Desktop/PD/"/>
    </mc:Choice>
  </mc:AlternateContent>
  <xr:revisionPtr revIDLastSave="215" documentId="8_{567929DA-246C-4CE9-8DF7-5846583AC2E3}" xr6:coauthVersionLast="47" xr6:coauthVersionMax="47" xr10:uidLastSave="{23C24CA1-70C5-40B4-91E6-10447125F383}"/>
  <bookViews>
    <workbookView xWindow="-108" yWindow="-108" windowWidth="23256" windowHeight="12456" activeTab="4" xr2:uid="{703C2B53-D44F-4BC2-82DD-836C411B03AF}"/>
  </bookViews>
  <sheets>
    <sheet name="Data" sheetId="1" r:id="rId1"/>
    <sheet name="Processing" sheetId="2" r:id="rId2"/>
    <sheet name="Merged" sheetId="11" r:id="rId3"/>
    <sheet name="Analysis" sheetId="12" r:id="rId4"/>
    <sheet name="Portfolio Summary" sheetId="3" r:id="rId5"/>
  </sheets>
  <definedNames>
    <definedName name="ExternalData_1" localSheetId="2" hidden="1">Merged!$A$1:$V$21</definedName>
  </definedNames>
  <calcPr calcId="191029"/>
  <pivotCaches>
    <pivotCache cacheId="1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3" l="1"/>
  <c r="C8" i="3"/>
  <c r="C7" i="3"/>
  <c r="C6" i="3"/>
  <c r="C5" i="3"/>
  <c r="C4" i="3"/>
  <c r="I4" i="2" a="1"/>
  <c r="I4" i="2" s="1"/>
  <c r="I5" i="2" a="1"/>
  <c r="I5" i="2" s="1"/>
  <c r="I6" i="2" a="1"/>
  <c r="I6" i="2" s="1"/>
  <c r="I7" i="2" a="1"/>
  <c r="I7" i="2" s="1"/>
  <c r="I8" i="2" a="1"/>
  <c r="I8" i="2" s="1"/>
  <c r="I9" i="2" a="1"/>
  <c r="I9" i="2" s="1"/>
  <c r="I10" i="2" a="1"/>
  <c r="I10" i="2" s="1"/>
  <c r="I11" i="2" a="1"/>
  <c r="I11" i="2" s="1"/>
  <c r="I12" i="2" a="1"/>
  <c r="I12" i="2" s="1"/>
  <c r="I13" i="2" a="1"/>
  <c r="I13" i="2"/>
  <c r="I14" i="2" a="1"/>
  <c r="I14" i="2" s="1"/>
  <c r="I15" i="2" a="1"/>
  <c r="I15" i="2" s="1"/>
  <c r="I16" i="2" a="1"/>
  <c r="I16" i="2"/>
  <c r="I17" i="2" a="1"/>
  <c r="I17" i="2" s="1"/>
  <c r="I18" i="2" a="1"/>
  <c r="I18" i="2" s="1"/>
  <c r="I19" i="2" a="1"/>
  <c r="I19" i="2" s="1"/>
  <c r="I20" i="2" a="1"/>
  <c r="I20" i="2" s="1"/>
  <c r="I21" i="2" a="1"/>
  <c r="I21" i="2"/>
  <c r="I22" i="2" a="1"/>
  <c r="I22" i="2" s="1"/>
  <c r="I3" i="2" a="1"/>
  <c r="I3" i="2" s="1"/>
  <c r="H4" i="2" a="1"/>
  <c r="H4" i="2" s="1"/>
  <c r="H5" i="2" a="1"/>
  <c r="H5" i="2" s="1"/>
  <c r="H6" i="2" a="1"/>
  <c r="H6" i="2" s="1"/>
  <c r="H7" i="2" a="1"/>
  <c r="H7" i="2" s="1"/>
  <c r="H8" i="2" a="1"/>
  <c r="H8" i="2" s="1"/>
  <c r="H9" i="2" a="1"/>
  <c r="H9" i="2"/>
  <c r="H10" i="2" a="1"/>
  <c r="H10" i="2" s="1"/>
  <c r="H11" i="2" a="1"/>
  <c r="H11" i="2" s="1"/>
  <c r="H12" i="2" a="1"/>
  <c r="H12" i="2" s="1"/>
  <c r="H13" i="2" a="1"/>
  <c r="H13" i="2" s="1"/>
  <c r="H14" i="2" a="1"/>
  <c r="H14" i="2"/>
  <c r="H15" i="2" a="1"/>
  <c r="H15" i="2"/>
  <c r="H16" i="2" a="1"/>
  <c r="H16" i="2" s="1"/>
  <c r="H17" i="2" a="1"/>
  <c r="H17" i="2" s="1"/>
  <c r="H18" i="2" a="1"/>
  <c r="H18" i="2"/>
  <c r="H19" i="2" a="1"/>
  <c r="H19" i="2" s="1"/>
  <c r="H20" i="2" a="1"/>
  <c r="H20" i="2" s="1"/>
  <c r="H21" i="2" a="1"/>
  <c r="H21" i="2" s="1"/>
  <c r="H22" i="2" a="1"/>
  <c r="H22" i="2" s="1"/>
  <c r="H3" i="2" a="1"/>
  <c r="H3" i="2"/>
  <c r="G4" i="2" a="1"/>
  <c r="G4" i="2" s="1"/>
  <c r="G5" i="2" a="1"/>
  <c r="G5" i="2" s="1"/>
  <c r="G6" i="2" a="1"/>
  <c r="G6" i="2"/>
  <c r="G7" i="2" a="1"/>
  <c r="G7" i="2" s="1"/>
  <c r="G8" i="2" a="1"/>
  <c r="G8" i="2" s="1"/>
  <c r="G9" i="2" a="1"/>
  <c r="G9" i="2" s="1"/>
  <c r="G10" i="2" a="1"/>
  <c r="G10" i="2" s="1"/>
  <c r="G11" i="2" a="1"/>
  <c r="G11" i="2" s="1"/>
  <c r="G12" i="2" a="1"/>
  <c r="G12" i="2" s="1"/>
  <c r="G13" i="2" a="1"/>
  <c r="G13" i="2" s="1"/>
  <c r="G14" i="2" a="1"/>
  <c r="G14" i="2" s="1"/>
  <c r="G15" i="2" a="1"/>
  <c r="G15" i="2" s="1"/>
  <c r="G16" i="2" a="1"/>
  <c r="G16" i="2" s="1"/>
  <c r="G17" i="2" a="1"/>
  <c r="G17" i="2" s="1"/>
  <c r="G18" i="2" a="1"/>
  <c r="G18" i="2"/>
  <c r="G19" i="2" a="1"/>
  <c r="G19" i="2" s="1"/>
  <c r="G20" i="2" a="1"/>
  <c r="G20" i="2" s="1"/>
  <c r="G21" i="2" a="1"/>
  <c r="G21" i="2" s="1"/>
  <c r="G22" i="2" a="1"/>
  <c r="G22" i="2" s="1"/>
  <c r="G3" i="2" a="1"/>
  <c r="G3" i="2" s="1"/>
  <c r="D4" i="2"/>
  <c r="E4" i="2" s="1"/>
  <c r="F4" i="2" s="1"/>
  <c r="D5" i="2"/>
  <c r="C5" i="2" s="1"/>
  <c r="D6" i="2"/>
  <c r="C6" i="2" s="1"/>
  <c r="D7" i="2"/>
  <c r="E7" i="2" s="1"/>
  <c r="F7" i="2" s="1"/>
  <c r="D8" i="2"/>
  <c r="C8" i="2" s="1"/>
  <c r="D9" i="2"/>
  <c r="C9" i="2" s="1"/>
  <c r="D10" i="2"/>
  <c r="C10" i="2" s="1"/>
  <c r="D11" i="2"/>
  <c r="C11" i="2" s="1"/>
  <c r="D12" i="2"/>
  <c r="C12" i="2" s="1"/>
  <c r="D13" i="2"/>
  <c r="E13" i="2" s="1"/>
  <c r="F13" i="2" s="1"/>
  <c r="D14" i="2"/>
  <c r="E14" i="2" s="1"/>
  <c r="F14" i="2" s="1"/>
  <c r="D15" i="2"/>
  <c r="E15" i="2" s="1"/>
  <c r="F15" i="2" s="1"/>
  <c r="D16" i="2"/>
  <c r="E16" i="2" s="1"/>
  <c r="F16" i="2" s="1"/>
  <c r="D17" i="2"/>
  <c r="E17" i="2" s="1"/>
  <c r="F17" i="2" s="1"/>
  <c r="D18" i="2"/>
  <c r="C18" i="2" s="1"/>
  <c r="D19" i="2"/>
  <c r="E19" i="2" s="1"/>
  <c r="F19" i="2" s="1"/>
  <c r="D20" i="2"/>
  <c r="C20" i="2" s="1"/>
  <c r="D21" i="2"/>
  <c r="C21" i="2" s="1"/>
  <c r="D22" i="2"/>
  <c r="C22" i="2" s="1"/>
  <c r="D3" i="2"/>
  <c r="C3" i="2" s="1"/>
  <c r="E9" i="2"/>
  <c r="F9" i="2" s="1"/>
  <c r="E11" i="2"/>
  <c r="F11" i="2" s="1"/>
  <c r="E12" i="2"/>
  <c r="F12" i="2" s="1"/>
  <c r="E21" i="2"/>
  <c r="F21" i="2" s="1"/>
  <c r="E10" i="2" l="1"/>
  <c r="F10" i="2" s="1"/>
  <c r="E18" i="2"/>
  <c r="F18" i="2" s="1"/>
  <c r="E5" i="2"/>
  <c r="F5" i="2" s="1"/>
  <c r="E20" i="2"/>
  <c r="F20" i="2" s="1"/>
  <c r="C17" i="2"/>
  <c r="C19" i="2"/>
  <c r="C7" i="2"/>
  <c r="E8" i="2"/>
  <c r="F8" i="2" s="1"/>
  <c r="E22" i="2"/>
  <c r="F22" i="2" s="1"/>
  <c r="E6" i="2"/>
  <c r="F6" i="2" s="1"/>
  <c r="C16" i="2"/>
  <c r="C4" i="2"/>
  <c r="C15" i="2"/>
  <c r="C14" i="2"/>
  <c r="C13" i="2"/>
  <c r="E3" i="2"/>
  <c r="F3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F626F7-B096-4CE7-BCCC-AB3F5BE691AF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2" xr16:uid="{5FD7FC3D-B5BE-4CAB-97D3-E09206C904AE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  <connection id="3" xr16:uid="{200CC645-4BE0-40D7-B66B-A3FDC990DBBE}" keepAlive="1" name="Query - Table5" description="Connection to the 'Table5' query in the workbook." type="5" refreshedVersion="0" background="1" saveData="1">
    <dbPr connection="Provider=Microsoft.Mashup.OleDb.1;Data Source=$Workbook$;Location=Table5;Extended Properties=&quot;&quot;" command="SELECT * FROM [Table5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<sst xmlns="http://schemas.openxmlformats.org/spreadsheetml/2006/main" count="500" uniqueCount="123">
  <si>
    <t>Loan ID</t>
  </si>
  <si>
    <t>Customer</t>
  </si>
  <si>
    <t>Gender</t>
  </si>
  <si>
    <t>Age</t>
  </si>
  <si>
    <t>County</t>
  </si>
  <si>
    <t>Loan Type</t>
  </si>
  <si>
    <t>Loan Amount</t>
  </si>
  <si>
    <t>Interest Rate</t>
  </si>
  <si>
    <t>Term (Months)</t>
  </si>
  <si>
    <t>Monthly Income</t>
  </si>
  <si>
    <t>Credit Score</t>
  </si>
  <si>
    <t>Amount Paid</t>
  </si>
  <si>
    <t>Outstanding</t>
  </si>
  <si>
    <t>Status</t>
  </si>
  <si>
    <t>Application Date</t>
  </si>
  <si>
    <t>L001</t>
  </si>
  <si>
    <t>John Mwangi</t>
  </si>
  <si>
    <t>M</t>
  </si>
  <si>
    <t>Nairobi</t>
  </si>
  <si>
    <t>Asset Finance</t>
  </si>
  <si>
    <t>Performing</t>
  </si>
  <si>
    <t>L002</t>
  </si>
  <si>
    <t>Mary Wanjiku</t>
  </si>
  <si>
    <t>F</t>
  </si>
  <si>
    <t>Kiambu</t>
  </si>
  <si>
    <t>Logbook</t>
  </si>
  <si>
    <t>L003</t>
  </si>
  <si>
    <t>Peter Otieno</t>
  </si>
  <si>
    <t>Kisumu</t>
  </si>
  <si>
    <t>L004</t>
  </si>
  <si>
    <t>Jane Akinyi</t>
  </si>
  <si>
    <t>Boda Loan</t>
  </si>
  <si>
    <t>Arrears</t>
  </si>
  <si>
    <t>L005</t>
  </si>
  <si>
    <t>David Kamau</t>
  </si>
  <si>
    <t>Nakuru</t>
  </si>
  <si>
    <t>L006</t>
  </si>
  <si>
    <t>Grace Njeri</t>
  </si>
  <si>
    <t>L007</t>
  </si>
  <si>
    <t>Samuel Ochieng</t>
  </si>
  <si>
    <t>L008</t>
  </si>
  <si>
    <t>Lucy Wambui</t>
  </si>
  <si>
    <t>L009</t>
  </si>
  <si>
    <t>Brian Kiptoo</t>
  </si>
  <si>
    <t>Uasin Gishu</t>
  </si>
  <si>
    <t>L010</t>
  </si>
  <si>
    <t>Ann Chebet</t>
  </si>
  <si>
    <t>Default</t>
  </si>
  <si>
    <t>L011</t>
  </si>
  <si>
    <t>Kevin Mutua</t>
  </si>
  <si>
    <t>Machakos</t>
  </si>
  <si>
    <t>L012</t>
  </si>
  <si>
    <t>Sarah Atieno</t>
  </si>
  <si>
    <t>L013</t>
  </si>
  <si>
    <t>Joseph Maina</t>
  </si>
  <si>
    <t>L014</t>
  </si>
  <si>
    <t>Esther Wairimu</t>
  </si>
  <si>
    <t>L015</t>
  </si>
  <si>
    <t>Daniel Kibet</t>
  </si>
  <si>
    <t>L016</t>
  </si>
  <si>
    <t>Ruth Nyambura</t>
  </si>
  <si>
    <t>L017</t>
  </si>
  <si>
    <t>Charles Omondi</t>
  </si>
  <si>
    <t>L018</t>
  </si>
  <si>
    <t>Beatrice Wambui</t>
  </si>
  <si>
    <t>L019</t>
  </si>
  <si>
    <t>Mark Kariuki</t>
  </si>
  <si>
    <t>L020</t>
  </si>
  <si>
    <t>Faith Auma</t>
  </si>
  <si>
    <t>Payment-to-Income Ratio</t>
  </si>
  <si>
    <t>Monthly Payment</t>
  </si>
  <si>
    <t>Total Repayment</t>
  </si>
  <si>
    <t>Interest Earned</t>
  </si>
  <si>
    <t>Age Group</t>
  </si>
  <si>
    <t>Risk Score Category</t>
  </si>
  <si>
    <t>Payment Status Score</t>
  </si>
  <si>
    <t>Narations</t>
  </si>
  <si>
    <t>Metric</t>
  </si>
  <si>
    <t>How to Calculate</t>
  </si>
  <si>
    <t>Total Portfolio Value</t>
  </si>
  <si>
    <t>Average Loan Size</t>
  </si>
  <si>
    <t>Performing Rate</t>
  </si>
  <si>
    <t>PAR (Portfolio at Risk)</t>
  </si>
  <si>
    <t>Average Interest Rate</t>
  </si>
  <si>
    <t>Total Interest Earned</t>
  </si>
  <si>
    <t>Values</t>
  </si>
  <si>
    <t>Loans in arrears/default / Total portfolio → 20%</t>
  </si>
  <si>
    <t>AVERAGE(Loan Amount) → $ 665,750</t>
  </si>
  <si>
    <t>COUNTIF(Status,"Performing")/COUNTA(Status) → 75%</t>
  </si>
  <si>
    <t>AVERAGE(Interest Rate) → 17.1%</t>
  </si>
  <si>
    <t>SUM(Loan Amount) → $ 12.5M</t>
  </si>
  <si>
    <t>SUM(Interest Earned) →$ 3.6M</t>
  </si>
  <si>
    <t>Portifolio Summary</t>
  </si>
  <si>
    <t>Mid</t>
  </si>
  <si>
    <t>Low</t>
  </si>
  <si>
    <t>Young</t>
  </si>
  <si>
    <t>Medium</t>
  </si>
  <si>
    <t>Senior</t>
  </si>
  <si>
    <t>High</t>
  </si>
  <si>
    <t>Grand Total</t>
  </si>
  <si>
    <t>Sum of Loan Amount</t>
  </si>
  <si>
    <t>Sum of Outstanding</t>
  </si>
  <si>
    <t>Count of Loan ID</t>
  </si>
  <si>
    <t>Column Labels</t>
  </si>
  <si>
    <t>Total Count of Loan ID</t>
  </si>
  <si>
    <t>Total Sum of Outstanding</t>
  </si>
  <si>
    <t>Total Sum of Loan Amount</t>
  </si>
  <si>
    <t>Risk</t>
  </si>
  <si>
    <t>Expected Insight: </t>
  </si>
  <si>
    <t>High-risk customers may have higher default rates, suggesting a need to tighten lending criteria.</t>
  </si>
  <si>
    <t>1. Risk Segmentation Analysis</t>
  </si>
  <si>
    <t>2.Geographic Performance Analysis</t>
  </si>
  <si>
    <t>Some counties may show higher delinquency rates—targeting collection efforts or adjusting lending policies there.</t>
  </si>
  <si>
    <t>Total Average of Interest Rate</t>
  </si>
  <si>
    <t>Average of Interest Rate</t>
  </si>
  <si>
    <t>Expected Insight:</t>
  </si>
  <si>
    <t> Boda Loans show higher interest rates but also higher risk—trade-off analysis.</t>
  </si>
  <si>
    <t>3.Product Performance Analysis</t>
  </si>
  <si>
    <t>Group Age</t>
  </si>
  <si>
    <t>Sum of Credit Score</t>
  </si>
  <si>
    <t>Total Sum of Credit Score</t>
  </si>
  <si>
    <t> Women may have better repayment behavior; older customers may borrow larger amounts but have better credit scores.</t>
  </si>
  <si>
    <t>4.Customer Demographics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</si>
</sst>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F1115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9" fontId="0" fillId="0" borderId="0" xfId="0" applyNumberFormat="1"/>
    <xf numFmtId="14" fontId="0" fillId="0" borderId="0" xfId="0" applyNumberFormat="1"/>
    <xf numFmtId="8" fontId="0" fillId="0" borderId="0" xfId="0" applyNumberFormat="1"/>
    <xf numFmtId="9" fontId="0" fillId="0" borderId="0" xfId="2" applyFont="1"/>
    <xf numFmtId="164" fontId="0" fillId="0" borderId="0" xfId="0" applyNumberFormat="1"/>
    <xf numFmtId="0" fontId="4" fillId="0" borderId="0" xfId="0" applyFont="1"/>
    <xf numFmtId="0" fontId="3" fillId="0" borderId="0" xfId="0" applyFont="1" applyAlignment="1">
      <alignment horizontal="center" textRotation="90" wrapText="1"/>
    </xf>
    <xf numFmtId="44" fontId="0" fillId="0" borderId="0" xfId="1" applyFont="1"/>
    <xf numFmtId="0" fontId="2" fillId="2" borderId="0" xfId="0" applyFont="1" applyFill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NumberFormat="1"/>
    <xf numFmtId="22" fontId="0" fillId="0" borderId="0" xfId="0" applyNumberFormat="1"/>
    <xf numFmtId="0" fontId="0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8" fillId="2" borderId="0" xfId="0" applyFont="1" applyFill="1" applyAlignment="1">
      <alignment horizontal="center"/>
    </xf>
    <xf numFmtId="0" fontId="7" fillId="0" borderId="0" xfId="0" applyFont="1"/>
    <xf numFmtId="0" fontId="0" fillId="0" borderId="0" xfId="0" applyFont="1"/>
    <xf numFmtId="0" fontId="0" fillId="0" borderId="0" xfId="0" pivotButton="1" applyFont="1"/>
    <xf numFmtId="0" fontId="0" fillId="0" borderId="0" xfId="0" applyFont="1" applyAlignment="1">
      <alignment horizontal="left"/>
    </xf>
    <xf numFmtId="0" fontId="0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1" fillId="0" borderId="0" xfId="0" pivotButton="1" applyFont="1"/>
    <xf numFmtId="0" fontId="11" fillId="0" borderId="0" xfId="0" applyFont="1" applyAlignment="1">
      <alignment horizontal="left"/>
    </xf>
    <xf numFmtId="10" fontId="11" fillId="0" borderId="0" xfId="0" applyNumberFormat="1" applyFont="1"/>
    <xf numFmtId="0" fontId="11" fillId="0" borderId="0" xfId="0" applyNumberFormat="1" applyFont="1"/>
    <xf numFmtId="0" fontId="11" fillId="0" borderId="0" xfId="0" applyFont="1" applyAlignment="1">
      <alignment horizontal="left" indent="1"/>
    </xf>
    <xf numFmtId="0" fontId="11" fillId="0" borderId="0" xfId="0" applyFont="1" applyAlignment="1">
      <alignment horizontal="left" indent="2"/>
    </xf>
  </cellXfs>
  <cellStyles count="3">
    <cellStyle name="Currency" xfId="1" builtinId="4"/>
    <cellStyle name="Normal" xfId="0" builtinId="0"/>
    <cellStyle name="Percent" xfId="2" builtinId="5"/>
  </cellStyles>
  <dxfs count="7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</dxf>
    <dxf>
      <numFmt numFmtId="14" formatCode="0.00%"/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numFmt numFmtId="0" formatCode="General"/>
    </dxf>
    <dxf>
      <numFmt numFmtId="0" formatCode="General"/>
    </dxf>
    <dxf>
      <numFmt numFmtId="27" formatCode="dd/mm/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9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Aptos Narrow"/>
        <family val="2"/>
        <scheme val="minor"/>
      </font>
    </dxf>
    <dxf>
      <numFmt numFmtId="164" formatCode="&quot;$&quot;#,##0.00"/>
    </dxf>
    <dxf>
      <numFmt numFmtId="164" formatCode="&quot;$&quot;#,##0.00"/>
    </dxf>
    <dxf>
      <numFmt numFmtId="12" formatCode="&quot;$&quot;#,##0.00_);[Red]\(&quot;$&quot;#,##0.00\)"/>
    </dxf>
    <dxf>
      <numFmt numFmtId="19" formatCode="dd/mm/yy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</xdr:colOff>
      <xdr:row>2</xdr:row>
      <xdr:rowOff>0</xdr:rowOff>
    </xdr:from>
    <xdr:to>
      <xdr:col>19</xdr:col>
      <xdr:colOff>7621</xdr:colOff>
      <xdr:row>19</xdr:row>
      <xdr:rowOff>139518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8D6C6D-B80B-61AF-1E5C-9DEED4617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55281" y="876300"/>
          <a:ext cx="5494020" cy="324847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aac Lugonzo" refreshedDate="46267.568029745373" createdVersion="8" refreshedVersion="8" minRefreshableVersion="3" recordCount="20" xr:uid="{ABC393B0-574F-4C8C-B9DB-5F6046A448D9}">
  <cacheSource type="worksheet">
    <worksheetSource name="Merge1_1"/>
  </cacheSource>
  <cacheFields count="22">
    <cacheField name="Loan ID" numFmtId="0">
      <sharedItems count="20">
        <s v="L001"/>
        <s v="L002"/>
        <s v="L003"/>
        <s v="L004"/>
        <s v="L005"/>
        <s v="L006"/>
        <s v="L007"/>
        <s v="L008"/>
        <s v="L009"/>
        <s v="L010"/>
        <s v="L011"/>
        <s v="L012"/>
        <s v="L013"/>
        <s v="L014"/>
        <s v="L015"/>
        <s v="L016"/>
        <s v="L017"/>
        <s v="L018"/>
        <s v="L019"/>
        <s v="L020"/>
      </sharedItems>
    </cacheField>
    <cacheField name="Customer" numFmtId="0">
      <sharedItems/>
    </cacheField>
    <cacheField name="Gender" numFmtId="0">
      <sharedItems count="2">
        <s v="M"/>
        <s v="F"/>
      </sharedItems>
    </cacheField>
    <cacheField name="Age" numFmtId="0">
      <sharedItems containsSemiMixedTypes="0" containsString="0" containsNumber="1" containsInteger="1" minValue="26" maxValue="47"/>
    </cacheField>
    <cacheField name="County" numFmtId="0">
      <sharedItems count="6">
        <s v="Nairobi"/>
        <s v="Kiambu"/>
        <s v="Kisumu"/>
        <s v="Nakuru"/>
        <s v="Uasin Gishu"/>
        <s v="Machakos"/>
      </sharedItems>
    </cacheField>
    <cacheField name="Loan Type" numFmtId="0">
      <sharedItems count="3">
        <s v="Asset Finance"/>
        <s v="Logbook"/>
        <s v="Boda Loan"/>
      </sharedItems>
    </cacheField>
    <cacheField name="Loan Amount" numFmtId="0">
      <sharedItems containsSemiMixedTypes="0" containsString="0" containsNumber="1" containsInteger="1" minValue="150000" maxValue="1500000"/>
    </cacheField>
    <cacheField name="Interest Rate" numFmtId="0">
      <sharedItems containsSemiMixedTypes="0" containsString="0" containsNumber="1" minValue="0.14000000000000001" maxValue="0.22"/>
    </cacheField>
    <cacheField name="Term (Months)" numFmtId="0">
      <sharedItems containsSemiMixedTypes="0" containsString="0" containsNumber="1" containsInteger="1" minValue="18" maxValue="48"/>
    </cacheField>
    <cacheField name="Monthly Income" numFmtId="0">
      <sharedItems containsSemiMixedTypes="0" containsString="0" containsNumber="1" containsInteger="1" minValue="38000" maxValue="150000"/>
    </cacheField>
    <cacheField name="Credit Score" numFmtId="0">
      <sharedItems containsSemiMixedTypes="0" containsString="0" containsNumber="1" containsInteger="1" minValue="575" maxValue="740"/>
    </cacheField>
    <cacheField name="Amount Paid" numFmtId="0">
      <sharedItems containsSemiMixedTypes="0" containsString="0" containsNumber="1" containsInteger="1" minValue="40000" maxValue="475000"/>
    </cacheField>
    <cacheField name="Outstanding" numFmtId="0">
      <sharedItems containsSemiMixedTypes="0" containsString="0" containsNumber="1" containsInteger="1" minValue="80000" maxValue="1125000"/>
    </cacheField>
    <cacheField name="Status" numFmtId="0">
      <sharedItems count="3">
        <s v="Performing"/>
        <s v="Arrears"/>
        <s v="Default"/>
      </sharedItems>
    </cacheField>
    <cacheField name="Application Date" numFmtId="22">
      <sharedItems containsSemiMixedTypes="0" containsNonDate="0" containsDate="1" containsString="0" minDate="2026-01-05T00:00:00" maxDate="2026-03-01T00:00:00"/>
    </cacheField>
    <cacheField name="Payment-to-Income Ratio" numFmtId="0">
      <sharedItems containsSemiMixedTypes="0" containsString="0" containsNumber="1" minValue="2.7" maxValue="5.1100000000000003"/>
    </cacheField>
    <cacheField name="Monthly Payment" numFmtId="0">
      <sharedItems containsSemiMixedTypes="0" containsString="0" containsNumber="1" minValue="9786.7386999999999" maxValue="40989.714699999997"/>
    </cacheField>
    <cacheField name="Total Repayment" numFmtId="0">
      <sharedItems containsSemiMixedTypes="0" containsString="0" containsNumber="1" minValue="176161.296" maxValue="1967506.3075999999"/>
    </cacheField>
    <cacheField name="Interest Earned" numFmtId="0">
      <sharedItems containsSemiMixedTypes="0" containsString="0" containsNumber="1" minValue="26161.295999999998" maxValue="467506.3076"/>
    </cacheField>
    <cacheField name="Age Group" numFmtId="0">
      <sharedItems count="3">
        <s v="Mid"/>
        <s v="Young"/>
        <s v="Senior"/>
      </sharedItems>
    </cacheField>
    <cacheField name="Risk Score Category" numFmtId="0">
      <sharedItems count="3">
        <s v="Low"/>
        <s v="Medium"/>
        <s v="High"/>
      </sharedItems>
    </cacheField>
    <cacheField name="Payment Status Score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John Mwangi"/>
    <x v="0"/>
    <n v="34"/>
    <x v="0"/>
    <x v="0"/>
    <n v="850000"/>
    <n v="0.14000000000000001"/>
    <n v="36"/>
    <n v="85000"/>
    <n v="720"/>
    <n v="425000"/>
    <n v="425000"/>
    <x v="0"/>
    <d v="2026-01-05T00:00:00"/>
    <n v="2.93"/>
    <n v="29050.9853"/>
    <n v="1045835.4706"/>
    <n v="195835.4706"/>
    <x v="0"/>
    <x v="0"/>
    <n v="1"/>
  </r>
  <r>
    <x v="1"/>
    <s v="Mary Wanjiku"/>
    <x v="1"/>
    <n v="29"/>
    <x v="1"/>
    <x v="1"/>
    <n v="350000"/>
    <n v="0.18"/>
    <n v="24"/>
    <n v="65000"/>
    <n v="680"/>
    <n v="175000"/>
    <n v="175000"/>
    <x v="0"/>
    <d v="2026-01-08T00:00:00"/>
    <n v="3.72"/>
    <n v="17473.435700000002"/>
    <n v="419362.45649999997"/>
    <n v="69362.4565"/>
    <x v="1"/>
    <x v="1"/>
    <n v="1"/>
  </r>
  <r>
    <x v="2"/>
    <s v="Peter Otieno"/>
    <x v="0"/>
    <n v="42"/>
    <x v="2"/>
    <x v="0"/>
    <n v="1200000"/>
    <n v="0.15"/>
    <n v="48"/>
    <n v="120000"/>
    <n v="710"/>
    <n v="300000"/>
    <n v="900000"/>
    <x v="0"/>
    <d v="2026-01-10T00:00:00"/>
    <n v="3.59"/>
    <n v="33396.897900000004"/>
    <n v="1603051.1000999999"/>
    <n v="403051.10009999998"/>
    <x v="2"/>
    <x v="0"/>
    <n v="1"/>
  </r>
  <r>
    <x v="3"/>
    <s v="Jane Akinyi"/>
    <x v="1"/>
    <n v="37"/>
    <x v="0"/>
    <x v="2"/>
    <n v="180000"/>
    <n v="0.2"/>
    <n v="18"/>
    <n v="42000"/>
    <n v="610"/>
    <n v="60000"/>
    <n v="120000"/>
    <x v="1"/>
    <d v="2026-01-12T00:00:00"/>
    <n v="3.6"/>
    <n v="11657.376099999999"/>
    <n v="209832.77"/>
    <n v="29832.77"/>
    <x v="0"/>
    <x v="2"/>
    <n v="2"/>
  </r>
  <r>
    <x v="4"/>
    <s v="David Kamau"/>
    <x v="0"/>
    <n v="31"/>
    <x v="3"/>
    <x v="1"/>
    <n v="500000"/>
    <n v="0.17"/>
    <n v="30"/>
    <n v="75000"/>
    <n v="695"/>
    <n v="250000"/>
    <n v="250000"/>
    <x v="0"/>
    <d v="2026-01-15T00:00:00"/>
    <n v="3.65"/>
    <n v="20574.483499999998"/>
    <n v="617234.50419999997"/>
    <n v="117234.5042"/>
    <x v="0"/>
    <x v="1"/>
    <n v="1"/>
  </r>
  <r>
    <x v="5"/>
    <s v="Grace Njeri"/>
    <x v="1"/>
    <n v="45"/>
    <x v="1"/>
    <x v="0"/>
    <n v="1500000"/>
    <n v="0.14000000000000001"/>
    <n v="48"/>
    <n v="150000"/>
    <n v="735"/>
    <n v="375000"/>
    <n v="1125000"/>
    <x v="0"/>
    <d v="2026-01-18T00:00:00"/>
    <n v="3.66"/>
    <n v="40989.714699999997"/>
    <n v="1967506.3075999999"/>
    <n v="467506.3076"/>
    <x v="2"/>
    <x v="0"/>
    <n v="1"/>
  </r>
  <r>
    <x v="6"/>
    <s v="Samuel Ochieng"/>
    <x v="0"/>
    <n v="28"/>
    <x v="2"/>
    <x v="2"/>
    <n v="150000"/>
    <n v="0.21"/>
    <n v="18"/>
    <n v="50000"/>
    <n v="590"/>
    <n v="50000"/>
    <n v="100000"/>
    <x v="1"/>
    <d v="2026-01-20T00:00:00"/>
    <n v="5.1100000000000003"/>
    <n v="9786.7386999999999"/>
    <n v="176161.296"/>
    <n v="26161.295999999998"/>
    <x v="1"/>
    <x v="2"/>
    <n v="2"/>
  </r>
  <r>
    <x v="7"/>
    <s v="Lucy Wambui"/>
    <x v="1"/>
    <n v="33"/>
    <x v="0"/>
    <x v="1"/>
    <n v="420000"/>
    <n v="0.18"/>
    <n v="24"/>
    <n v="70000"/>
    <n v="665"/>
    <n v="315000"/>
    <n v="105000"/>
    <x v="0"/>
    <d v="2026-01-22T00:00:00"/>
    <n v="3.34"/>
    <n v="20968.122800000001"/>
    <n v="503234.94790000003"/>
    <n v="83234.947899999999"/>
    <x v="0"/>
    <x v="1"/>
    <n v="1"/>
  </r>
  <r>
    <x v="8"/>
    <s v="Brian Kiptoo"/>
    <x v="0"/>
    <n v="39"/>
    <x v="4"/>
    <x v="0"/>
    <n v="950000"/>
    <n v="0.15"/>
    <n v="36"/>
    <n v="90000"/>
    <n v="705"/>
    <n v="475000"/>
    <n v="475000"/>
    <x v="0"/>
    <d v="2026-01-25T00:00:00"/>
    <n v="2.73"/>
    <n v="32932.062100000003"/>
    <n v="1185554.2348"/>
    <n v="235554.23480000001"/>
    <x v="0"/>
    <x v="0"/>
    <n v="1"/>
  </r>
  <r>
    <x v="9"/>
    <s v="Ann Chebet"/>
    <x v="1"/>
    <n v="26"/>
    <x v="3"/>
    <x v="2"/>
    <n v="200000"/>
    <n v="0.22"/>
    <n v="18"/>
    <n v="45000"/>
    <n v="575"/>
    <n v="40000"/>
    <n v="160000"/>
    <x v="2"/>
    <d v="2026-01-28T00:00:00"/>
    <n v="3.42"/>
    <n v="13145.7304"/>
    <n v="236623.14790000001"/>
    <n v="36623.147900000004"/>
    <x v="1"/>
    <x v="2"/>
    <n v="3"/>
  </r>
  <r>
    <x v="10"/>
    <s v="Kevin Mutua"/>
    <x v="0"/>
    <n v="36"/>
    <x v="5"/>
    <x v="1"/>
    <n v="600000"/>
    <n v="0.17"/>
    <n v="30"/>
    <n v="80000"/>
    <n v="690"/>
    <n v="300000"/>
    <n v="300000"/>
    <x v="0"/>
    <d v="2026-02-02T00:00:00"/>
    <n v="3.24"/>
    <n v="24689.3802"/>
    <n v="740681.40509999997"/>
    <n v="140681.4051"/>
    <x v="0"/>
    <x v="1"/>
    <n v="1"/>
  </r>
  <r>
    <x v="11"/>
    <s v="Sarah Atieno"/>
    <x v="1"/>
    <n v="41"/>
    <x v="2"/>
    <x v="0"/>
    <n v="1100000"/>
    <n v="0.15"/>
    <n v="48"/>
    <n v="115000"/>
    <n v="725"/>
    <n v="275000"/>
    <n v="825000"/>
    <x v="0"/>
    <d v="2026-02-05T00:00:00"/>
    <n v="3.76"/>
    <n v="30613.823100000001"/>
    <n v="1469463.5085"/>
    <n v="369463.5085"/>
    <x v="2"/>
    <x v="0"/>
    <n v="1"/>
  </r>
  <r>
    <x v="12"/>
    <s v="Joseph Maina"/>
    <x v="0"/>
    <n v="30"/>
    <x v="0"/>
    <x v="2"/>
    <n v="175000"/>
    <n v="0.2"/>
    <n v="18"/>
    <n v="38000"/>
    <n v="600"/>
    <n v="87500"/>
    <n v="87500"/>
    <x v="1"/>
    <d v="2026-02-08T00:00:00"/>
    <n v="3.35"/>
    <n v="11333.560100000001"/>
    <n v="204004.08189999999"/>
    <n v="29004.081900000001"/>
    <x v="0"/>
    <x v="2"/>
    <n v="2"/>
  </r>
  <r>
    <x v="13"/>
    <s v="Esther Wairimu"/>
    <x v="1"/>
    <n v="35"/>
    <x v="1"/>
    <x v="1"/>
    <n v="450000"/>
    <n v="0.18"/>
    <n v="24"/>
    <n v="68000"/>
    <n v="675"/>
    <n v="225000"/>
    <n v="225000"/>
    <x v="0"/>
    <d v="2026-02-10T00:00:00"/>
    <n v="3.03"/>
    <n v="22465.8459"/>
    <n v="539180.30130000005"/>
    <n v="89180.301300000006"/>
    <x v="0"/>
    <x v="1"/>
    <n v="1"/>
  </r>
  <r>
    <x v="14"/>
    <s v="Daniel Kibet"/>
    <x v="0"/>
    <n v="44"/>
    <x v="4"/>
    <x v="0"/>
    <n v="1350000"/>
    <n v="0.14000000000000001"/>
    <n v="48"/>
    <n v="140000"/>
    <n v="740"/>
    <n v="337500"/>
    <n v="1012500"/>
    <x v="0"/>
    <d v="2026-02-13T00:00:00"/>
    <n v="3.79"/>
    <n v="36890.743300000002"/>
    <n v="1770755.6769000001"/>
    <n v="420755.67690000002"/>
    <x v="2"/>
    <x v="0"/>
    <n v="1"/>
  </r>
  <r>
    <x v="15"/>
    <s v="Ruth Nyambura"/>
    <x v="1"/>
    <n v="32"/>
    <x v="0"/>
    <x v="1"/>
    <n v="380000"/>
    <n v="0.19"/>
    <n v="24"/>
    <n v="55000"/>
    <n v="650"/>
    <n v="190000"/>
    <n v="190000"/>
    <x v="0"/>
    <d v="2026-02-16T00:00:00"/>
    <n v="2.87"/>
    <n v="19155.2745"/>
    <n v="459726.58889999997"/>
    <n v="79726.588900000002"/>
    <x v="0"/>
    <x v="1"/>
    <n v="1"/>
  </r>
  <r>
    <x v="16"/>
    <s v="Charles Omondi"/>
    <x v="0"/>
    <n v="47"/>
    <x v="2"/>
    <x v="0"/>
    <n v="1000000"/>
    <n v="0.16"/>
    <n v="36"/>
    <n v="95000"/>
    <n v="680"/>
    <n v="250000"/>
    <n v="750000"/>
    <x v="1"/>
    <d v="2026-02-19T00:00:00"/>
    <n v="2.7"/>
    <n v="35157.033000000003"/>
    <n v="1265653.1893"/>
    <n v="265653.18930000003"/>
    <x v="2"/>
    <x v="1"/>
    <n v="2"/>
  </r>
  <r>
    <x v="17"/>
    <s v="Beatrice Wambui"/>
    <x v="1"/>
    <n v="27"/>
    <x v="3"/>
    <x v="2"/>
    <n v="160000"/>
    <n v="0.21"/>
    <n v="18"/>
    <n v="40000"/>
    <n v="585"/>
    <n v="80000"/>
    <n v="80000"/>
    <x v="0"/>
    <d v="2026-02-22T00:00:00"/>
    <n v="3.83"/>
    <n v="10439.187900000001"/>
    <n v="187905.3824"/>
    <n v="27905.382399999999"/>
    <x v="1"/>
    <x v="2"/>
    <n v="1"/>
  </r>
  <r>
    <x v="18"/>
    <s v="Mark Kariuki"/>
    <x v="0"/>
    <n v="38"/>
    <x v="1"/>
    <x v="1"/>
    <n v="550000"/>
    <n v="0.17"/>
    <n v="30"/>
    <n v="85000"/>
    <n v="700"/>
    <n v="275000"/>
    <n v="275000"/>
    <x v="0"/>
    <d v="2026-02-25T00:00:00"/>
    <n v="3.76"/>
    <n v="22631.931799999998"/>
    <n v="678957.9547"/>
    <n v="128957.9547"/>
    <x v="0"/>
    <x v="0"/>
    <n v="1"/>
  </r>
  <r>
    <x v="19"/>
    <s v="Faith Auma"/>
    <x v="1"/>
    <n v="43"/>
    <x v="0"/>
    <x v="0"/>
    <n v="1250000"/>
    <n v="0.15"/>
    <n v="48"/>
    <n v="130000"/>
    <n v="715"/>
    <n v="312500"/>
    <n v="937500"/>
    <x v="0"/>
    <d v="2026-02-28T00:00:00"/>
    <n v="3.74"/>
    <n v="34788.435299999997"/>
    <n v="1669844.8959999999"/>
    <n v="419844.89600000001"/>
    <x v="2"/>
    <x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5A41E1-C6FA-40FE-B552-F33D7880840E}" name="PivotTable5" cacheId="1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Group Age">
  <location ref="A39:M63" firstHeaderRow="1" firstDataRow="3" firstDataCol="1"/>
  <pivotFields count="22">
    <pivotField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>
      <items count="7">
        <item x="1"/>
        <item x="2"/>
        <item x="5"/>
        <item x="0"/>
        <item x="3"/>
        <item x="4"/>
        <item t="default"/>
      </items>
    </pivotField>
    <pivotField showAll="0">
      <items count="4">
        <item x="0"/>
        <item x="2"/>
        <item x="1"/>
        <item t="default"/>
      </items>
    </pivotField>
    <pivotField dataField="1" showAll="0"/>
    <pivotField showAll="0"/>
    <pivotField showAll="0"/>
    <pivotField showAll="0"/>
    <pivotField dataField="1" showAll="0"/>
    <pivotField showAll="0"/>
    <pivotField dataField="1" showAll="0"/>
    <pivotField axis="axisCol" multipleItemSelectionAllowed="1" showAll="0">
      <items count="4">
        <item x="1"/>
        <item x="2"/>
        <item x="0"/>
        <item t="default"/>
      </items>
    </pivotField>
    <pivotField numFmtId="22"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</pivotFields>
  <rowFields count="3">
    <field x="19"/>
    <field x="20"/>
    <field x="2"/>
  </rowFields>
  <rowItems count="22">
    <i>
      <x/>
    </i>
    <i r="1">
      <x/>
    </i>
    <i r="2">
      <x/>
    </i>
    <i r="2">
      <x v="1"/>
    </i>
    <i r="1">
      <x v="1"/>
    </i>
    <i r="2">
      <x v="1"/>
    </i>
    <i r="1">
      <x v="2"/>
    </i>
    <i r="2">
      <x/>
    </i>
    <i r="2">
      <x v="1"/>
    </i>
    <i>
      <x v="1"/>
    </i>
    <i r="1">
      <x v="1"/>
    </i>
    <i r="2">
      <x/>
    </i>
    <i r="2">
      <x v="1"/>
    </i>
    <i r="1">
      <x v="2"/>
    </i>
    <i r="2">
      <x v="1"/>
    </i>
    <i>
      <x v="2"/>
    </i>
    <i r="1">
      <x/>
    </i>
    <i r="2">
      <x/>
    </i>
    <i r="2">
      <x v="1"/>
    </i>
    <i r="1">
      <x v="2"/>
    </i>
    <i r="2">
      <x/>
    </i>
    <i t="grand">
      <x/>
    </i>
  </rowItems>
  <colFields count="2">
    <field x="-2"/>
    <field x="13"/>
  </colFields>
  <colItems count="12">
    <i>
      <x/>
      <x/>
    </i>
    <i r="1">
      <x v="1"/>
    </i>
    <i r="1">
      <x v="2"/>
    </i>
    <i i="1">
      <x v="1"/>
      <x/>
    </i>
    <i r="1" i="1">
      <x v="1"/>
    </i>
    <i r="1" i="1">
      <x v="2"/>
    </i>
    <i i="2">
      <x v="2"/>
      <x/>
    </i>
    <i r="1" i="2">
      <x v="1"/>
    </i>
    <i r="1" i="2">
      <x v="2"/>
    </i>
    <i t="grand">
      <x/>
    </i>
    <i t="grand" i="1">
      <x/>
    </i>
    <i t="grand" i="2">
      <x/>
    </i>
  </colItems>
  <dataFields count="3">
    <dataField name="Sum of Outstanding" fld="12" showDataAs="percentOfCol" baseField="20" baseItem="1" numFmtId="10"/>
    <dataField name="Sum of Loan Amount" fld="6" baseField="0" baseItem="0"/>
    <dataField name="Sum of Credit Score" fld="10" baseField="0" baseItem="0"/>
  </dataFields>
  <formats count="11">
    <format dxfId="2">
      <pivotArea type="all" dataOnly="0" outline="0" fieldPosition="0"/>
    </format>
    <format dxfId="3">
      <pivotArea outline="0" collapsedLevelsAreSubtotals="1" fieldPosition="0"/>
    </format>
    <format dxfId="4">
      <pivotArea type="origin" dataOnly="0" labelOnly="1" outline="0" fieldPosition="0"/>
    </format>
    <format dxfId="5">
      <pivotArea field="13" type="button" dataOnly="0" labelOnly="1" outline="0" axis="axisCol" fieldPosition="1"/>
    </format>
    <format dxfId="6">
      <pivotArea field="-2" type="button" dataOnly="0" labelOnly="1" outline="0" axis="axisCol" fieldPosition="0"/>
    </format>
    <format dxfId="7">
      <pivotArea type="topRight" dataOnly="0" labelOnly="1" outline="0" fieldPosition="0"/>
    </format>
    <format dxfId="8">
      <pivotArea field="4" type="button" dataOnly="0" labelOnly="1" outline="0"/>
    </format>
    <format dxfId="9">
      <pivotArea dataOnly="0" labelOnly="1" grandRow="1" outline="0" fieldPosition="0"/>
    </format>
    <format dxfId="10">
      <pivotArea field="13" dataOnly="0" labelOnly="1" outline="0" axis="axisCol" fieldPosition="1">
        <references count="1">
          <reference field="4294967294" count="1" selected="0">
            <x v="0"/>
          </reference>
        </references>
      </pivotArea>
    </format>
    <format dxfId="11">
      <pivotArea field="13" dataOnly="0" labelOnly="1" outline="0" axis="axisCol" fieldPosition="1">
        <references count="1">
          <reference field="4294967294" count="1" selected="0">
            <x v="1"/>
          </reference>
        </references>
      </pivotArea>
    </format>
    <format dxfId="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CA6D29-0215-4E4E-9AE0-44F92E752F23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y">
  <location ref="A28:M34" firstHeaderRow="1" firstDataRow="3" firstDataCol="1"/>
  <pivotFields count="22">
    <pivotField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>
      <items count="7">
        <item x="1"/>
        <item x="2"/>
        <item x="5"/>
        <item x="0"/>
        <item x="3"/>
        <item x="4"/>
        <item t="default"/>
      </items>
    </pivotField>
    <pivotField axis="axisRow" showAll="0">
      <items count="4">
        <item x="0"/>
        <item x="2"/>
        <item x="1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dataField="1" showAll="0"/>
    <pivotField axis="axisCol" multipleItemSelectionAllowed="1" showAll="0">
      <items count="4">
        <item x="1"/>
        <item x="2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2">
    <field x="-2"/>
    <field x="13"/>
  </colFields>
  <colItems count="12">
    <i>
      <x/>
      <x/>
    </i>
    <i r="1">
      <x v="1"/>
    </i>
    <i r="1">
      <x v="2"/>
    </i>
    <i i="1">
      <x v="1"/>
      <x/>
    </i>
    <i r="1" i="1">
      <x v="1"/>
    </i>
    <i r="1" i="1">
      <x v="2"/>
    </i>
    <i i="2">
      <x v="2"/>
      <x/>
    </i>
    <i r="1" i="2">
      <x v="1"/>
    </i>
    <i r="1" i="2">
      <x v="2"/>
    </i>
    <i t="grand">
      <x/>
    </i>
    <i t="grand" i="1">
      <x/>
    </i>
    <i t="grand" i="2">
      <x/>
    </i>
  </colItems>
  <dataFields count="3">
    <dataField name="Sum of Outstanding" fld="12" baseField="0" baseItem="0"/>
    <dataField name="Sum of Loan Amount" fld="6" baseField="0" baseItem="0"/>
    <dataField name="Average of Interest Rate" fld="7" subtotal="average" baseField="5" baseItem="2"/>
  </dataFields>
  <formats count="10">
    <format dxfId="12">
      <pivotArea type="all" dataOnly="0" outline="0" fieldPosition="0"/>
    </format>
    <format dxfId="13">
      <pivotArea outline="0" collapsedLevelsAreSubtotals="1" fieldPosition="0"/>
    </format>
    <format dxfId="14">
      <pivotArea type="origin" dataOnly="0" labelOnly="1" outline="0" fieldPosition="0"/>
    </format>
    <format dxfId="15">
      <pivotArea field="13" type="button" dataOnly="0" labelOnly="1" outline="0" axis="axisCol" fieldPosition="1"/>
    </format>
    <format dxfId="16">
      <pivotArea field="-2" type="button" dataOnly="0" labelOnly="1" outline="0" axis="axisCol" fieldPosition="0"/>
    </format>
    <format dxfId="17">
      <pivotArea type="topRight" dataOnly="0" labelOnly="1" outline="0" fieldPosition="0"/>
    </format>
    <format dxfId="18">
      <pivotArea field="4" type="button" dataOnly="0" labelOnly="1" outline="0"/>
    </format>
    <format dxfId="19">
      <pivotArea dataOnly="0" labelOnly="1" grandRow="1" outline="0" fieldPosition="0"/>
    </format>
    <format dxfId="20">
      <pivotArea field="13" dataOnly="0" labelOnly="1" grandRow="1" outline="0" axis="axisCol" fieldPosition="1">
        <references count="1">
          <reference field="4294967294" count="1" selected="0">
            <x v="0"/>
          </reference>
        </references>
      </pivotArea>
    </format>
    <format dxfId="21">
      <pivotArea field="13" dataOnly="0" labelOnly="1" grandRow="1" outline="0" axis="axisCol" fieldPosition="1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E078F3-F77C-4AD3-88AB-C3B747D8F643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y">
  <location ref="A14:M23" firstHeaderRow="1" firstDataRow="3" firstDataCol="1"/>
  <pivotFields count="22">
    <pivotField dataField="1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axis="axisRow" showAll="0">
      <items count="7">
        <item x="1"/>
        <item x="2"/>
        <item x="5"/>
        <item x="0"/>
        <item x="3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axis="axisCol" multipleItemSelectionAllowed="1" showAll="0">
      <items count="4">
        <item x="1"/>
        <item x="2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13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Outstanding" fld="12" baseField="0" baseItem="0"/>
    <dataField name="Count of Loan ID" fld="0" subtotal="count" baseField="4" baseItem="0"/>
    <dataField name="Sum of Loan Amount" fld="6" baseField="0" baseItem="0"/>
  </dataFields>
  <formats count="16">
    <format dxfId="53">
      <pivotArea type="all" dataOnly="0" outline="0" fieldPosition="0"/>
    </format>
    <format dxfId="52">
      <pivotArea outline="0" collapsedLevelsAreSubtotals="1" fieldPosition="0"/>
    </format>
    <format dxfId="51">
      <pivotArea type="origin" dataOnly="0" labelOnly="1" outline="0" fieldPosition="0"/>
    </format>
    <format dxfId="50">
      <pivotArea field="13" type="button" dataOnly="0" labelOnly="1" outline="0" axis="axisCol" fieldPosition="0"/>
    </format>
    <format dxfId="49">
      <pivotArea field="-2" type="button" dataOnly="0" labelOnly="1" outline="0" axis="axisCol" fieldPosition="1"/>
    </format>
    <format dxfId="48">
      <pivotArea type="topRight" dataOnly="0" labelOnly="1" outline="0" fieldPosition="0"/>
    </format>
    <format dxfId="47">
      <pivotArea field="4" type="button" dataOnly="0" labelOnly="1" outline="0" axis="axisRow" fieldPosition="0"/>
    </format>
    <format dxfId="46">
      <pivotArea dataOnly="0" labelOnly="1" fieldPosition="0">
        <references count="1">
          <reference field="4" count="0"/>
        </references>
      </pivotArea>
    </format>
    <format dxfId="45">
      <pivotArea dataOnly="0" labelOnly="1" grandRow="1" outline="0" fieldPosition="0"/>
    </format>
    <format dxfId="44">
      <pivotArea dataOnly="0" labelOnly="1" fieldPosition="0">
        <references count="1">
          <reference field="13" count="0"/>
        </references>
      </pivotArea>
    </format>
    <format dxfId="43">
      <pivotArea field="1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2">
      <pivotArea field="1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1">
      <pivotArea field="13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4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3" count="1" selected="0">
            <x v="0"/>
          </reference>
        </references>
      </pivotArea>
    </format>
    <format dxfId="3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3" count="1" selected="0">
            <x v="1"/>
          </reference>
        </references>
      </pivotArea>
    </format>
    <format dxfId="3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3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4525F2-5736-4D8D-841D-4DB192D68999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isk">
  <location ref="A3:M9" firstHeaderRow="1" firstDataRow="3" firstDataCol="1"/>
  <pivotFields count="22">
    <pivotField dataField="1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axis="axisCol" multipleItemSelectionAllowed="1" showAll="0">
      <items count="4">
        <item x="1"/>
        <item x="2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</pivotFields>
  <rowFields count="1">
    <field x="20"/>
  </rowFields>
  <rowItems count="4">
    <i>
      <x/>
    </i>
    <i>
      <x v="1"/>
    </i>
    <i>
      <x v="2"/>
    </i>
    <i t="grand">
      <x/>
    </i>
  </rowItems>
  <colFields count="2">
    <field x="-2"/>
    <field x="13"/>
  </colFields>
  <colItems count="12">
    <i>
      <x/>
      <x/>
    </i>
    <i r="1">
      <x v="1"/>
    </i>
    <i r="1">
      <x v="2"/>
    </i>
    <i i="1">
      <x v="1"/>
      <x/>
    </i>
    <i r="1" i="1">
      <x v="1"/>
    </i>
    <i r="1" i="1">
      <x v="2"/>
    </i>
    <i i="2">
      <x v="2"/>
      <x/>
    </i>
    <i r="1" i="2">
      <x v="1"/>
    </i>
    <i r="1" i="2">
      <x v="2"/>
    </i>
    <i t="grand">
      <x/>
    </i>
    <i t="grand" i="1">
      <x/>
    </i>
    <i t="grand" i="2">
      <x/>
    </i>
  </colItems>
  <dataFields count="3">
    <dataField name="Count of Loan ID" fld="0" subtotal="count" baseField="0" baseItem="0"/>
    <dataField name="Sum of Loan Amount" fld="6" baseField="20" baseItem="0"/>
    <dataField name="Sum of Outstanding" fld="12" baseField="0" baseItem="0"/>
  </dataFields>
  <formats count="16">
    <format dxfId="37">
      <pivotArea type="all" dataOnly="0" outline="0" fieldPosition="0"/>
    </format>
    <format dxfId="36">
      <pivotArea outline="0" collapsedLevelsAreSubtotals="1" fieldPosition="0"/>
    </format>
    <format dxfId="35">
      <pivotArea type="origin" dataOnly="0" labelOnly="1" outline="0" fieldPosition="0"/>
    </format>
    <format dxfId="34">
      <pivotArea field="-2" type="button" dataOnly="0" labelOnly="1" outline="0" axis="axisCol" fieldPosition="0"/>
    </format>
    <format dxfId="33">
      <pivotArea field="13" type="button" dataOnly="0" labelOnly="1" outline="0" axis="axisCol" fieldPosition="1"/>
    </format>
    <format dxfId="32">
      <pivotArea type="topRight" dataOnly="0" labelOnly="1" outline="0" fieldPosition="0"/>
    </format>
    <format dxfId="31">
      <pivotArea field="20" type="button" dataOnly="0" labelOnly="1" outline="0" axis="axisRow" fieldPosition="0"/>
    </format>
    <format dxfId="30">
      <pivotArea dataOnly="0" labelOnly="1" fieldPosition="0">
        <references count="1">
          <reference field="20" count="0"/>
        </references>
      </pivotArea>
    </format>
    <format dxfId="29">
      <pivotArea dataOnly="0" labelOnly="1" grandRow="1" outline="0" fieldPosition="0"/>
    </format>
    <format dxfId="2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7">
      <pivotArea field="13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26">
      <pivotArea field="13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25">
      <pivotArea field="13" dataOnly="0" labelOnly="1" grandCol="1" outline="0" axis="axisCol" fieldPosition="1">
        <references count="1">
          <reference field="4294967294" count="1" selected="0">
            <x v="2"/>
          </reference>
        </references>
      </pivotArea>
    </format>
    <format dxfId="24">
      <pivotArea dataOnly="0" labelOnly="1" fieldPosition="0">
        <references count="2">
          <reference field="4294967294" count="1" selected="0">
            <x v="0"/>
          </reference>
          <reference field="13" count="0"/>
        </references>
      </pivotArea>
    </format>
    <format dxfId="23">
      <pivotArea dataOnly="0" labelOnly="1" fieldPosition="0">
        <references count="2">
          <reference field="4294967294" count="1" selected="0">
            <x v="1"/>
          </reference>
          <reference field="13" count="0"/>
        </references>
      </pivotArea>
    </format>
    <format dxfId="22">
      <pivotArea dataOnly="0" labelOnly="1" fieldPosition="0">
        <references count="2">
          <reference field="4294967294" count="1" selected="0">
            <x v="2"/>
          </reference>
          <reference field="1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26E0870-3044-4A57-B68C-D724E3F02FAC}" autoFormatId="16" applyNumberFormats="0" applyBorderFormats="0" applyFontFormats="0" applyPatternFormats="0" applyAlignmentFormats="0" applyWidthHeightFormats="0">
  <queryTableRefresh nextId="23">
    <queryTableFields count="22">
      <queryTableField id="1" name="Loan ID" tableColumnId="1"/>
      <queryTableField id="2" name="Customer" tableColumnId="2"/>
      <queryTableField id="3" name="Gender" tableColumnId="3"/>
      <queryTableField id="4" name="Age" tableColumnId="4"/>
      <queryTableField id="5" name="County" tableColumnId="5"/>
      <queryTableField id="6" name="Loan Type" tableColumnId="6"/>
      <queryTableField id="7" name="Loan Amount" tableColumnId="7"/>
      <queryTableField id="8" name="Interest Rate" tableColumnId="8"/>
      <queryTableField id="9" name="Term (Months)" tableColumnId="9"/>
      <queryTableField id="10" name="Monthly Income" tableColumnId="10"/>
      <queryTableField id="11" name="Credit Score" tableColumnId="11"/>
      <queryTableField id="12" name="Amount Paid" tableColumnId="12"/>
      <queryTableField id="13" name="Outstanding" tableColumnId="13"/>
      <queryTableField id="14" name="Status" tableColumnId="14"/>
      <queryTableField id="15" name="Application Date" tableColumnId="15"/>
      <queryTableField id="16" name="Table5.Payment-to-Income Ratio" tableColumnId="16"/>
      <queryTableField id="17" name="Table5.Monthly Payment" tableColumnId="17"/>
      <queryTableField id="18" name="Table5.Total Repayment" tableColumnId="18"/>
      <queryTableField id="19" name="Table5.Interest Earned" tableColumnId="19"/>
      <queryTableField id="20" name="Table5.Age Group" tableColumnId="20"/>
      <queryTableField id="21" name="Table5.Risk Score Category" tableColumnId="21"/>
      <queryTableField id="22" name="Table5.Payment Status Score" tableColumnId="2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5FCE8C-7D86-44A1-A498-0FDB5CB9F8DC}" name="Table1" displayName="Table1" ref="A1:O21" totalsRowShown="0">
  <autoFilter ref="A1:O21" xr:uid="{295FCE8C-7D86-44A1-A498-0FDB5CB9F8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D727DE20-EF01-4670-93E4-C8C48CD9E1E5}" name="Loan ID"/>
    <tableColumn id="2" xr3:uid="{48510D1D-0F7F-42A1-875C-2B433C38C7AB}" name="Customer"/>
    <tableColumn id="3" xr3:uid="{E7D24078-5A4B-4EE7-B44B-9A454CAE5ACC}" name="Gender"/>
    <tableColumn id="4" xr3:uid="{A3DA801E-C19C-47D3-8766-3CA32B8EA70D}" name="Age"/>
    <tableColumn id="5" xr3:uid="{CF3D6735-9FFC-4EE9-B6BF-00714EEA04B3}" name="County"/>
    <tableColumn id="6" xr3:uid="{685C2148-E17B-4BCF-A54C-41BF8A973D5A}" name="Loan Type"/>
    <tableColumn id="7" xr3:uid="{EE1B82B4-480C-419B-AA39-193DB617E008}" name="Loan Amount"/>
    <tableColumn id="8" xr3:uid="{16CF620E-E399-486C-83BE-1F14489A21CA}" name="Interest Rate" dataDxfId="69"/>
    <tableColumn id="9" xr3:uid="{05C83EB7-C3EB-48C9-8575-ADD0D72B4A43}" name="Term (Months)"/>
    <tableColumn id="10" xr3:uid="{B5C5F120-0E90-4EBE-9150-C25ECFA35279}" name="Monthly Income"/>
    <tableColumn id="11" xr3:uid="{FB96B516-E3D9-4081-A258-902B5780EA3F}" name="Credit Score"/>
    <tableColumn id="12" xr3:uid="{AD358F6A-B746-45A7-8E0C-1141B733B576}" name="Amount Paid"/>
    <tableColumn id="13" xr3:uid="{9D41DA7C-974D-497A-9998-C06887273B24}" name="Outstanding"/>
    <tableColumn id="14" xr3:uid="{6F6C469D-D21B-402E-B23D-E0CAB26DB4F1}" name="Status"/>
    <tableColumn id="15" xr3:uid="{5B8D113A-E8CA-4FE1-AF36-5E6F655F0DBC}" name="Application Date" dataDxfId="6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A57C2BD-BA0E-4566-B9A7-2D5E7CE97062}" name="Table5" displayName="Table5" ref="A2:I22" totalsRowShown="0" headerRowDxfId="63">
  <autoFilter ref="A2:I22" xr:uid="{CA57C2BD-BA0E-4566-B9A7-2D5E7CE9706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0656397-6B58-4403-864E-04CF58157F2F}" name="Loan ID"/>
    <tableColumn id="2" xr3:uid="{6369AECD-2C0C-478D-A5F4-D40E35BB3D45}" name="Customer"/>
    <tableColumn id="3" xr3:uid="{B285E62C-3BC5-442A-AA7A-0AE0917E491F}" name="Payment-to-Income Ratio">
      <calculatedColumnFormula>ROUND(ABS(Data!J2/Processing!D3),2)</calculatedColumnFormula>
    </tableColumn>
    <tableColumn id="4" xr3:uid="{009BE5FA-DDA1-4D91-81BD-94A0E48CF2FA}" name="Monthly Payment" dataDxfId="67">
      <calculatedColumnFormula>ABS(PMT(Data!H2/12,Data!I2,Data!G2))</calculatedColumnFormula>
    </tableColumn>
    <tableColumn id="5" xr3:uid="{9A30438E-59FD-4861-8B3D-2D6AC5391B71}" name="Total Repayment" dataDxfId="66">
      <calculatedColumnFormula>PRODUCT(D3,Data!I2)</calculatedColumnFormula>
    </tableColumn>
    <tableColumn id="6" xr3:uid="{24B3A58D-36CD-4557-8057-E271655013EC}" name="Interest Earned" dataDxfId="65">
      <calculatedColumnFormula>E3-Data!G2</calculatedColumnFormula>
    </tableColumn>
    <tableColumn id="7" xr3:uid="{E130EBB7-404A-4FA7-AF42-3A9654BB3D44}" name="Age Group" dataDxfId="64">
      <calculatedColumnFormula array="1">_xlfn.IFS(Data!D2&lt;30,"Young",Data!D2&lt;40,"Mid",Data!D2&gt;40,"Senior")</calculatedColumnFormula>
    </tableColumn>
    <tableColumn id="8" xr3:uid="{694FA5F3-CC17-496E-B1F2-2E14C94F8389}" name="Risk Score Category">
      <calculatedColumnFormula array="1">_xlfn.IFS(Data!K2&gt;=700,"Low",Data!K2&gt;=650,"Medium",Data!K2&lt;=650,"High")</calculatedColumnFormula>
    </tableColumn>
    <tableColumn id="9" xr3:uid="{669340B4-E399-4A5C-8C33-B9A1283A606C}" name="Payment Status Score">
      <calculatedColumnFormula array="1">_xlfn.IFS(Data!N2="Performing",1,Data!N2="Arrears",2,Data!N2="Default",3)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FDCD8AF-D960-4ED1-93B6-526412BD83A2}" name="Merge1_1" displayName="Merge1_1" ref="A1:V21" tableType="queryTable" totalsRowShown="0">
  <autoFilter ref="A1:V21" xr:uid="{EFDCD8AF-D960-4ED1-93B6-526412BD83A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952F08E3-0369-4733-BB2B-E2DBB59A75A8}" uniqueName="1" name="Loan ID" queryTableFieldId="1" dataDxfId="62"/>
    <tableColumn id="2" xr3:uid="{0F955A07-DD7A-4833-A215-AAD8AE4D76E8}" uniqueName="2" name="Customer" queryTableFieldId="2" dataDxfId="61"/>
    <tableColumn id="3" xr3:uid="{CC8F48A3-C255-45E6-A5D9-62618C590FAA}" uniqueName="3" name="Gender" queryTableFieldId="3" dataDxfId="60"/>
    <tableColumn id="4" xr3:uid="{8724FA51-594D-4EE9-9407-6CE6064085E4}" uniqueName="4" name="Age" queryTableFieldId="4"/>
    <tableColumn id="5" xr3:uid="{6252E00C-932C-44C1-A87A-0B7AED58255B}" uniqueName="5" name="County" queryTableFieldId="5" dataDxfId="59"/>
    <tableColumn id="6" xr3:uid="{A65008B3-420D-450A-9C3E-7D3191BB4111}" uniqueName="6" name="Loan Type" queryTableFieldId="6" dataDxfId="58"/>
    <tableColumn id="7" xr3:uid="{43F1A0F3-7C68-41F7-97B6-AE589E545EB6}" uniqueName="7" name="Loan Amount" queryTableFieldId="7"/>
    <tableColumn id="8" xr3:uid="{34DE5D72-346B-4C05-8A9F-591E44B7F2A7}" uniqueName="8" name="Interest Rate" queryTableFieldId="8"/>
    <tableColumn id="9" xr3:uid="{7F765840-5C98-4521-A446-DD43C4C60D50}" uniqueName="9" name="Term (Months)" queryTableFieldId="9"/>
    <tableColumn id="10" xr3:uid="{6040CDCD-064C-42B1-A1E4-B3650EB8BF8D}" uniqueName="10" name="Monthly Income" queryTableFieldId="10"/>
    <tableColumn id="11" xr3:uid="{13E7388B-D23B-4049-A788-2129A5D9BA09}" uniqueName="11" name="Credit Score" queryTableFieldId="11"/>
    <tableColumn id="12" xr3:uid="{5F4AEF51-8213-4E5D-8CEA-A6BC11CC7D1F}" uniqueName="12" name="Amount Paid" queryTableFieldId="12"/>
    <tableColumn id="13" xr3:uid="{5A4122E7-0431-4936-B268-D3B79C13C26B}" uniqueName="13" name="Outstanding" queryTableFieldId="13"/>
    <tableColumn id="14" xr3:uid="{DA3C01C7-76F2-46D8-B6C2-00C782EE3C9E}" uniqueName="14" name="Status" queryTableFieldId="14" dataDxfId="57"/>
    <tableColumn id="15" xr3:uid="{C4D5D6BD-FBCD-483A-9D33-83CF76E88AFF}" uniqueName="15" name="Application Date" queryTableFieldId="15" dataDxfId="56"/>
    <tableColumn id="16" xr3:uid="{B8696AA5-4051-4F68-9393-FF6D408234FD}" uniqueName="16" name="Payment-to-Income Ratio" queryTableFieldId="16"/>
    <tableColumn id="17" xr3:uid="{4F35A17C-502B-4C6C-A209-49215ADDCCA1}" uniqueName="17" name="Monthly Payment" queryTableFieldId="17"/>
    <tableColumn id="18" xr3:uid="{3043DD7E-54CC-483C-89F5-13B3CE58FE54}" uniqueName="18" name="Total Repayment" queryTableFieldId="18"/>
    <tableColumn id="19" xr3:uid="{83526C24-D7E6-439B-90D8-1906D667F27B}" uniqueName="19" name="Interest Earned" queryTableFieldId="19"/>
    <tableColumn id="20" xr3:uid="{ED5C2B01-584F-4DF8-95FB-4D0682D29C5E}" uniqueName="20" name="Age Group" queryTableFieldId="20" dataDxfId="55"/>
    <tableColumn id="21" xr3:uid="{E1B99366-B453-46B7-977E-1DBDF843D9EB}" uniqueName="21" name="Risk Score Category" queryTableFieldId="21" dataDxfId="54"/>
    <tableColumn id="22" xr3:uid="{42022FEA-658A-402A-961C-190F8AF21F7A}" uniqueName="22" name="Payment Status Score" queryTableFieldId="2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F5560FB-C6B3-42EF-B94A-8223C4C28BDB}" name="Table14" displayName="Table14" ref="A3:C9" totalsRowShown="0" headerRowDxfId="0">
  <autoFilter ref="A3:C9" xr:uid="{DF5560FB-C6B3-42EF-B94A-8223C4C28BDB}">
    <filterColumn colId="0" hiddenButton="1"/>
    <filterColumn colId="1" hiddenButton="1"/>
    <filterColumn colId="2" hiddenButton="1"/>
  </autoFilter>
  <tableColumns count="3">
    <tableColumn id="1" xr3:uid="{D9F67D05-A404-453F-9304-AE6FB26DF7C3}" name="Metric"/>
    <tableColumn id="2" xr3:uid="{2F3CE996-1352-4D5A-A03E-E90BBFC3BC9F}" name="How to Calculate"/>
    <tableColumn id="3" xr3:uid="{F244FC09-45A8-47E5-AC0B-5E404BECA323}" name="Val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19F48-95F5-4DCA-ABD2-B143C6BFB9C5}">
  <dimension ref="A1:O21"/>
  <sheetViews>
    <sheetView workbookViewId="0">
      <selection activeCell="I14" sqref="I14"/>
    </sheetView>
  </sheetViews>
  <sheetFormatPr defaultRowHeight="14.4" x14ac:dyDescent="0.3"/>
  <cols>
    <col min="1" max="1" width="11.109375" customWidth="1"/>
    <col min="2" max="2" width="13.77734375" customWidth="1"/>
    <col min="3" max="3" width="10.5546875" customWidth="1"/>
    <col min="4" max="4" width="7.5546875" customWidth="1"/>
    <col min="6" max="6" width="14.5546875" customWidth="1"/>
    <col min="7" max="7" width="14.6640625" customWidth="1"/>
    <col min="8" max="8" width="13.44140625" customWidth="1"/>
    <col min="9" max="9" width="14.77734375" customWidth="1"/>
    <col min="10" max="10" width="16" customWidth="1"/>
    <col min="11" max="12" width="13.44140625" customWidth="1"/>
    <col min="13" max="13" width="13" customWidth="1"/>
    <col min="14" max="14" width="12.33203125" customWidth="1"/>
    <col min="15" max="15" width="16.77734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>
        <v>34</v>
      </c>
      <c r="E2" t="s">
        <v>18</v>
      </c>
      <c r="F2" t="s">
        <v>19</v>
      </c>
      <c r="G2">
        <v>850000</v>
      </c>
      <c r="H2" s="1">
        <v>0.14000000000000001</v>
      </c>
      <c r="I2">
        <v>36</v>
      </c>
      <c r="J2">
        <v>85000</v>
      </c>
      <c r="K2">
        <v>720</v>
      </c>
      <c r="L2">
        <v>425000</v>
      </c>
      <c r="M2">
        <v>425000</v>
      </c>
      <c r="N2" t="s">
        <v>20</v>
      </c>
      <c r="O2" s="2">
        <v>46027</v>
      </c>
    </row>
    <row r="3" spans="1:15" x14ac:dyDescent="0.3">
      <c r="A3" t="s">
        <v>21</v>
      </c>
      <c r="B3" t="s">
        <v>22</v>
      </c>
      <c r="C3" t="s">
        <v>23</v>
      </c>
      <c r="D3">
        <v>29</v>
      </c>
      <c r="E3" t="s">
        <v>24</v>
      </c>
      <c r="F3" t="s">
        <v>25</v>
      </c>
      <c r="G3">
        <v>350000</v>
      </c>
      <c r="H3" s="1">
        <v>0.18</v>
      </c>
      <c r="I3">
        <v>24</v>
      </c>
      <c r="J3">
        <v>65000</v>
      </c>
      <c r="K3">
        <v>680</v>
      </c>
      <c r="L3">
        <v>175000</v>
      </c>
      <c r="M3">
        <v>175000</v>
      </c>
      <c r="N3" t="s">
        <v>20</v>
      </c>
      <c r="O3" s="2">
        <v>46030</v>
      </c>
    </row>
    <row r="4" spans="1:15" x14ac:dyDescent="0.3">
      <c r="A4" t="s">
        <v>26</v>
      </c>
      <c r="B4" t="s">
        <v>27</v>
      </c>
      <c r="C4" t="s">
        <v>17</v>
      </c>
      <c r="D4">
        <v>42</v>
      </c>
      <c r="E4" t="s">
        <v>28</v>
      </c>
      <c r="F4" t="s">
        <v>19</v>
      </c>
      <c r="G4">
        <v>1200000</v>
      </c>
      <c r="H4" s="1">
        <v>0.15</v>
      </c>
      <c r="I4">
        <v>48</v>
      </c>
      <c r="J4">
        <v>120000</v>
      </c>
      <c r="K4">
        <v>710</v>
      </c>
      <c r="L4">
        <v>300000</v>
      </c>
      <c r="M4">
        <v>900000</v>
      </c>
      <c r="N4" t="s">
        <v>20</v>
      </c>
      <c r="O4" s="2">
        <v>46032</v>
      </c>
    </row>
    <row r="5" spans="1:15" x14ac:dyDescent="0.3">
      <c r="A5" t="s">
        <v>29</v>
      </c>
      <c r="B5" t="s">
        <v>30</v>
      </c>
      <c r="C5" t="s">
        <v>23</v>
      </c>
      <c r="D5">
        <v>37</v>
      </c>
      <c r="E5" t="s">
        <v>18</v>
      </c>
      <c r="F5" t="s">
        <v>31</v>
      </c>
      <c r="G5">
        <v>180000</v>
      </c>
      <c r="H5" s="1">
        <v>0.2</v>
      </c>
      <c r="I5">
        <v>18</v>
      </c>
      <c r="J5">
        <v>42000</v>
      </c>
      <c r="K5">
        <v>610</v>
      </c>
      <c r="L5">
        <v>60000</v>
      </c>
      <c r="M5">
        <v>120000</v>
      </c>
      <c r="N5" t="s">
        <v>32</v>
      </c>
      <c r="O5" s="2">
        <v>46034</v>
      </c>
    </row>
    <row r="6" spans="1:15" x14ac:dyDescent="0.3">
      <c r="A6" t="s">
        <v>33</v>
      </c>
      <c r="B6" t="s">
        <v>34</v>
      </c>
      <c r="C6" t="s">
        <v>17</v>
      </c>
      <c r="D6">
        <v>31</v>
      </c>
      <c r="E6" t="s">
        <v>35</v>
      </c>
      <c r="F6" t="s">
        <v>25</v>
      </c>
      <c r="G6">
        <v>500000</v>
      </c>
      <c r="H6" s="1">
        <v>0.17</v>
      </c>
      <c r="I6">
        <v>30</v>
      </c>
      <c r="J6">
        <v>75000</v>
      </c>
      <c r="K6">
        <v>695</v>
      </c>
      <c r="L6">
        <v>250000</v>
      </c>
      <c r="M6">
        <v>250000</v>
      </c>
      <c r="N6" t="s">
        <v>20</v>
      </c>
      <c r="O6" s="2">
        <v>46037</v>
      </c>
    </row>
    <row r="7" spans="1:15" x14ac:dyDescent="0.3">
      <c r="A7" t="s">
        <v>36</v>
      </c>
      <c r="B7" t="s">
        <v>37</v>
      </c>
      <c r="C7" t="s">
        <v>23</v>
      </c>
      <c r="D7">
        <v>45</v>
      </c>
      <c r="E7" t="s">
        <v>24</v>
      </c>
      <c r="F7" t="s">
        <v>19</v>
      </c>
      <c r="G7">
        <v>1500000</v>
      </c>
      <c r="H7" s="1">
        <v>0.14000000000000001</v>
      </c>
      <c r="I7">
        <v>48</v>
      </c>
      <c r="J7">
        <v>150000</v>
      </c>
      <c r="K7">
        <v>735</v>
      </c>
      <c r="L7">
        <v>375000</v>
      </c>
      <c r="M7">
        <v>1125000</v>
      </c>
      <c r="N7" t="s">
        <v>20</v>
      </c>
      <c r="O7" s="2">
        <v>46040</v>
      </c>
    </row>
    <row r="8" spans="1:15" x14ac:dyDescent="0.3">
      <c r="A8" t="s">
        <v>38</v>
      </c>
      <c r="B8" t="s">
        <v>39</v>
      </c>
      <c r="C8" t="s">
        <v>17</v>
      </c>
      <c r="D8">
        <v>28</v>
      </c>
      <c r="E8" t="s">
        <v>28</v>
      </c>
      <c r="F8" t="s">
        <v>31</v>
      </c>
      <c r="G8">
        <v>150000</v>
      </c>
      <c r="H8" s="1">
        <v>0.21</v>
      </c>
      <c r="I8">
        <v>18</v>
      </c>
      <c r="J8">
        <v>50000</v>
      </c>
      <c r="K8">
        <v>590</v>
      </c>
      <c r="L8">
        <v>50000</v>
      </c>
      <c r="M8">
        <v>100000</v>
      </c>
      <c r="N8" t="s">
        <v>32</v>
      </c>
      <c r="O8" s="2">
        <v>46042</v>
      </c>
    </row>
    <row r="9" spans="1:15" x14ac:dyDescent="0.3">
      <c r="A9" t="s">
        <v>40</v>
      </c>
      <c r="B9" t="s">
        <v>41</v>
      </c>
      <c r="C9" t="s">
        <v>23</v>
      </c>
      <c r="D9">
        <v>33</v>
      </c>
      <c r="E9" t="s">
        <v>18</v>
      </c>
      <c r="F9" t="s">
        <v>25</v>
      </c>
      <c r="G9">
        <v>420000</v>
      </c>
      <c r="H9" s="1">
        <v>0.18</v>
      </c>
      <c r="I9">
        <v>24</v>
      </c>
      <c r="J9">
        <v>70000</v>
      </c>
      <c r="K9">
        <v>665</v>
      </c>
      <c r="L9">
        <v>315000</v>
      </c>
      <c r="M9">
        <v>105000</v>
      </c>
      <c r="N9" t="s">
        <v>20</v>
      </c>
      <c r="O9" s="2">
        <v>46044</v>
      </c>
    </row>
    <row r="10" spans="1:15" x14ac:dyDescent="0.3">
      <c r="A10" t="s">
        <v>42</v>
      </c>
      <c r="B10" t="s">
        <v>43</v>
      </c>
      <c r="C10" t="s">
        <v>17</v>
      </c>
      <c r="D10">
        <v>39</v>
      </c>
      <c r="E10" t="s">
        <v>44</v>
      </c>
      <c r="F10" t="s">
        <v>19</v>
      </c>
      <c r="G10">
        <v>950000</v>
      </c>
      <c r="H10" s="1">
        <v>0.15</v>
      </c>
      <c r="I10">
        <v>36</v>
      </c>
      <c r="J10">
        <v>90000</v>
      </c>
      <c r="K10">
        <v>705</v>
      </c>
      <c r="L10">
        <v>475000</v>
      </c>
      <c r="M10">
        <v>475000</v>
      </c>
      <c r="N10" t="s">
        <v>20</v>
      </c>
      <c r="O10" s="2">
        <v>46047</v>
      </c>
    </row>
    <row r="11" spans="1:15" x14ac:dyDescent="0.3">
      <c r="A11" t="s">
        <v>45</v>
      </c>
      <c r="B11" t="s">
        <v>46</v>
      </c>
      <c r="C11" t="s">
        <v>23</v>
      </c>
      <c r="D11">
        <v>26</v>
      </c>
      <c r="E11" t="s">
        <v>35</v>
      </c>
      <c r="F11" t="s">
        <v>31</v>
      </c>
      <c r="G11">
        <v>200000</v>
      </c>
      <c r="H11" s="1">
        <v>0.22</v>
      </c>
      <c r="I11">
        <v>18</v>
      </c>
      <c r="J11">
        <v>45000</v>
      </c>
      <c r="K11">
        <v>575</v>
      </c>
      <c r="L11">
        <v>40000</v>
      </c>
      <c r="M11">
        <v>160000</v>
      </c>
      <c r="N11" t="s">
        <v>47</v>
      </c>
      <c r="O11" s="2">
        <v>46050</v>
      </c>
    </row>
    <row r="12" spans="1:15" x14ac:dyDescent="0.3">
      <c r="A12" t="s">
        <v>48</v>
      </c>
      <c r="B12" t="s">
        <v>49</v>
      </c>
      <c r="C12" t="s">
        <v>17</v>
      </c>
      <c r="D12">
        <v>36</v>
      </c>
      <c r="E12" t="s">
        <v>50</v>
      </c>
      <c r="F12" t="s">
        <v>25</v>
      </c>
      <c r="G12">
        <v>600000</v>
      </c>
      <c r="H12" s="1">
        <v>0.17</v>
      </c>
      <c r="I12">
        <v>30</v>
      </c>
      <c r="J12">
        <v>80000</v>
      </c>
      <c r="K12">
        <v>690</v>
      </c>
      <c r="L12">
        <v>300000</v>
      </c>
      <c r="M12">
        <v>300000</v>
      </c>
      <c r="N12" t="s">
        <v>20</v>
      </c>
      <c r="O12" s="2">
        <v>46055</v>
      </c>
    </row>
    <row r="13" spans="1:15" x14ac:dyDescent="0.3">
      <c r="A13" t="s">
        <v>51</v>
      </c>
      <c r="B13" t="s">
        <v>52</v>
      </c>
      <c r="C13" t="s">
        <v>23</v>
      </c>
      <c r="D13">
        <v>41</v>
      </c>
      <c r="E13" t="s">
        <v>28</v>
      </c>
      <c r="F13" t="s">
        <v>19</v>
      </c>
      <c r="G13">
        <v>1100000</v>
      </c>
      <c r="H13" s="1">
        <v>0.15</v>
      </c>
      <c r="I13">
        <v>48</v>
      </c>
      <c r="J13">
        <v>115000</v>
      </c>
      <c r="K13">
        <v>725</v>
      </c>
      <c r="L13">
        <v>275000</v>
      </c>
      <c r="M13">
        <v>825000</v>
      </c>
      <c r="N13" t="s">
        <v>20</v>
      </c>
      <c r="O13" s="2">
        <v>46058</v>
      </c>
    </row>
    <row r="14" spans="1:15" x14ac:dyDescent="0.3">
      <c r="A14" t="s">
        <v>53</v>
      </c>
      <c r="B14" t="s">
        <v>54</v>
      </c>
      <c r="C14" t="s">
        <v>17</v>
      </c>
      <c r="D14">
        <v>30</v>
      </c>
      <c r="E14" t="s">
        <v>18</v>
      </c>
      <c r="F14" t="s">
        <v>31</v>
      </c>
      <c r="G14">
        <v>175000</v>
      </c>
      <c r="H14" s="1">
        <v>0.2</v>
      </c>
      <c r="I14">
        <v>18</v>
      </c>
      <c r="J14">
        <v>38000</v>
      </c>
      <c r="K14">
        <v>600</v>
      </c>
      <c r="L14">
        <v>87500</v>
      </c>
      <c r="M14">
        <v>87500</v>
      </c>
      <c r="N14" t="s">
        <v>32</v>
      </c>
      <c r="O14" s="2">
        <v>46061</v>
      </c>
    </row>
    <row r="15" spans="1:15" x14ac:dyDescent="0.3">
      <c r="A15" t="s">
        <v>55</v>
      </c>
      <c r="B15" t="s">
        <v>56</v>
      </c>
      <c r="C15" t="s">
        <v>23</v>
      </c>
      <c r="D15">
        <v>35</v>
      </c>
      <c r="E15" t="s">
        <v>24</v>
      </c>
      <c r="F15" t="s">
        <v>25</v>
      </c>
      <c r="G15">
        <v>450000</v>
      </c>
      <c r="H15" s="1">
        <v>0.18</v>
      </c>
      <c r="I15">
        <v>24</v>
      </c>
      <c r="J15">
        <v>68000</v>
      </c>
      <c r="K15">
        <v>675</v>
      </c>
      <c r="L15">
        <v>225000</v>
      </c>
      <c r="M15">
        <v>225000</v>
      </c>
      <c r="N15" t="s">
        <v>20</v>
      </c>
      <c r="O15" s="2">
        <v>46063</v>
      </c>
    </row>
    <row r="16" spans="1:15" x14ac:dyDescent="0.3">
      <c r="A16" t="s">
        <v>57</v>
      </c>
      <c r="B16" t="s">
        <v>58</v>
      </c>
      <c r="C16" t="s">
        <v>17</v>
      </c>
      <c r="D16">
        <v>44</v>
      </c>
      <c r="E16" t="s">
        <v>44</v>
      </c>
      <c r="F16" t="s">
        <v>19</v>
      </c>
      <c r="G16">
        <v>1350000</v>
      </c>
      <c r="H16" s="1">
        <v>0.14000000000000001</v>
      </c>
      <c r="I16">
        <v>48</v>
      </c>
      <c r="J16">
        <v>140000</v>
      </c>
      <c r="K16">
        <v>740</v>
      </c>
      <c r="L16">
        <v>337500</v>
      </c>
      <c r="M16">
        <v>1012500</v>
      </c>
      <c r="N16" t="s">
        <v>20</v>
      </c>
      <c r="O16" s="2">
        <v>46066</v>
      </c>
    </row>
    <row r="17" spans="1:15" x14ac:dyDescent="0.3">
      <c r="A17" t="s">
        <v>59</v>
      </c>
      <c r="B17" t="s">
        <v>60</v>
      </c>
      <c r="C17" t="s">
        <v>23</v>
      </c>
      <c r="D17">
        <v>32</v>
      </c>
      <c r="E17" t="s">
        <v>18</v>
      </c>
      <c r="F17" t="s">
        <v>25</v>
      </c>
      <c r="G17">
        <v>380000</v>
      </c>
      <c r="H17" s="1">
        <v>0.19</v>
      </c>
      <c r="I17">
        <v>24</v>
      </c>
      <c r="J17">
        <v>55000</v>
      </c>
      <c r="K17">
        <v>650</v>
      </c>
      <c r="L17">
        <v>190000</v>
      </c>
      <c r="M17">
        <v>190000</v>
      </c>
      <c r="N17" t="s">
        <v>20</v>
      </c>
      <c r="O17" s="2">
        <v>46069</v>
      </c>
    </row>
    <row r="18" spans="1:15" x14ac:dyDescent="0.3">
      <c r="A18" t="s">
        <v>61</v>
      </c>
      <c r="B18" t="s">
        <v>62</v>
      </c>
      <c r="C18" t="s">
        <v>17</v>
      </c>
      <c r="D18">
        <v>47</v>
      </c>
      <c r="E18" t="s">
        <v>28</v>
      </c>
      <c r="F18" t="s">
        <v>19</v>
      </c>
      <c r="G18">
        <v>1000000</v>
      </c>
      <c r="H18" s="1">
        <v>0.16</v>
      </c>
      <c r="I18">
        <v>36</v>
      </c>
      <c r="J18">
        <v>95000</v>
      </c>
      <c r="K18">
        <v>680</v>
      </c>
      <c r="L18">
        <v>250000</v>
      </c>
      <c r="M18">
        <v>750000</v>
      </c>
      <c r="N18" t="s">
        <v>32</v>
      </c>
      <c r="O18" s="2">
        <v>46072</v>
      </c>
    </row>
    <row r="19" spans="1:15" x14ac:dyDescent="0.3">
      <c r="A19" t="s">
        <v>63</v>
      </c>
      <c r="B19" t="s">
        <v>64</v>
      </c>
      <c r="C19" t="s">
        <v>23</v>
      </c>
      <c r="D19">
        <v>27</v>
      </c>
      <c r="E19" t="s">
        <v>35</v>
      </c>
      <c r="F19" t="s">
        <v>31</v>
      </c>
      <c r="G19">
        <v>160000</v>
      </c>
      <c r="H19" s="1">
        <v>0.21</v>
      </c>
      <c r="I19">
        <v>18</v>
      </c>
      <c r="J19">
        <v>40000</v>
      </c>
      <c r="K19">
        <v>585</v>
      </c>
      <c r="L19">
        <v>80000</v>
      </c>
      <c r="M19">
        <v>80000</v>
      </c>
      <c r="N19" t="s">
        <v>20</v>
      </c>
      <c r="O19" s="2">
        <v>46075</v>
      </c>
    </row>
    <row r="20" spans="1:15" x14ac:dyDescent="0.3">
      <c r="A20" t="s">
        <v>65</v>
      </c>
      <c r="B20" t="s">
        <v>66</v>
      </c>
      <c r="C20" t="s">
        <v>17</v>
      </c>
      <c r="D20">
        <v>38</v>
      </c>
      <c r="E20" t="s">
        <v>24</v>
      </c>
      <c r="F20" t="s">
        <v>25</v>
      </c>
      <c r="G20">
        <v>550000</v>
      </c>
      <c r="H20" s="1">
        <v>0.17</v>
      </c>
      <c r="I20">
        <v>30</v>
      </c>
      <c r="J20">
        <v>85000</v>
      </c>
      <c r="K20">
        <v>700</v>
      </c>
      <c r="L20">
        <v>275000</v>
      </c>
      <c r="M20">
        <v>275000</v>
      </c>
      <c r="N20" t="s">
        <v>20</v>
      </c>
      <c r="O20" s="2">
        <v>46078</v>
      </c>
    </row>
    <row r="21" spans="1:15" x14ac:dyDescent="0.3">
      <c r="A21" t="s">
        <v>67</v>
      </c>
      <c r="B21" t="s">
        <v>68</v>
      </c>
      <c r="C21" t="s">
        <v>23</v>
      </c>
      <c r="D21">
        <v>43</v>
      </c>
      <c r="E21" t="s">
        <v>18</v>
      </c>
      <c r="F21" t="s">
        <v>19</v>
      </c>
      <c r="G21">
        <v>1250000</v>
      </c>
      <c r="H21" s="1">
        <v>0.15</v>
      </c>
      <c r="I21">
        <v>48</v>
      </c>
      <c r="J21">
        <v>130000</v>
      </c>
      <c r="K21">
        <v>715</v>
      </c>
      <c r="L21">
        <v>312500</v>
      </c>
      <c r="M21">
        <v>937500</v>
      </c>
      <c r="N21" t="s">
        <v>20</v>
      </c>
      <c r="O21" s="2">
        <v>46081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A6840-87A9-40CD-970E-055D341590F1}">
  <dimension ref="A2:S22"/>
  <sheetViews>
    <sheetView workbookViewId="0">
      <selection activeCell="H12" sqref="H12"/>
    </sheetView>
  </sheetViews>
  <sheetFormatPr defaultRowHeight="14.4" x14ac:dyDescent="0.3"/>
  <cols>
    <col min="1" max="1" width="10.44140625" customWidth="1"/>
    <col min="2" max="2" width="15.21875" customWidth="1"/>
    <col min="3" max="3" width="10.88671875" customWidth="1"/>
    <col min="4" max="4" width="11.21875" bestFit="1" customWidth="1"/>
    <col min="5" max="5" width="12.6640625" bestFit="1" customWidth="1"/>
    <col min="6" max="6" width="11.109375" bestFit="1" customWidth="1"/>
  </cols>
  <sheetData>
    <row r="2" spans="1:19" ht="54.6" customHeight="1" x14ac:dyDescent="0.55000000000000004">
      <c r="A2" s="7" t="s">
        <v>0</v>
      </c>
      <c r="B2" s="7" t="s">
        <v>1</v>
      </c>
      <c r="C2" s="7" t="s">
        <v>69</v>
      </c>
      <c r="D2" s="7" t="s">
        <v>70</v>
      </c>
      <c r="E2" s="7" t="s">
        <v>71</v>
      </c>
      <c r="F2" s="7" t="s">
        <v>72</v>
      </c>
      <c r="G2" s="7" t="s">
        <v>73</v>
      </c>
      <c r="H2" s="7" t="s">
        <v>74</v>
      </c>
      <c r="I2" s="7" t="s">
        <v>75</v>
      </c>
      <c r="K2" s="10" t="s">
        <v>76</v>
      </c>
      <c r="L2" s="11"/>
      <c r="M2" s="11"/>
      <c r="N2" s="11"/>
      <c r="O2" s="11"/>
      <c r="P2" s="11"/>
      <c r="Q2" s="11"/>
      <c r="R2" s="11"/>
      <c r="S2" s="11"/>
    </row>
    <row r="3" spans="1:19" x14ac:dyDescent="0.3">
      <c r="A3" t="s">
        <v>15</v>
      </c>
      <c r="B3" t="s">
        <v>16</v>
      </c>
      <c r="C3">
        <f>ROUND(ABS(Data!J2/Processing!D3),2)</f>
        <v>2.93</v>
      </c>
      <c r="D3" s="3">
        <f>ABS(PMT(Data!H2/12,Data!I2,Data!G2))</f>
        <v>29050.985294321777</v>
      </c>
      <c r="E3" s="5">
        <f>PRODUCT(D3,Data!I2)</f>
        <v>1045835.470595584</v>
      </c>
      <c r="F3" s="5">
        <f>E3-Data!G2</f>
        <v>195835.47059558402</v>
      </c>
      <c r="G3" s="6" t="str" cm="1">
        <f t="array" ref="G3">_xlfn.IFS(Data!D2&lt;30,"Young",Data!D2&lt;40,"Mid",Data!D2&gt;40,"Senior")</f>
        <v>Mid</v>
      </c>
      <c r="H3" t="str" cm="1">
        <f t="array" ref="H3">_xlfn.IFS(Data!K2&gt;=700,"Low",Data!K2&gt;=650,"Medium",Data!K2&lt;=650,"High")</f>
        <v>Low</v>
      </c>
      <c r="I3" cm="1">
        <f t="array" ref="I3">_xlfn.IFS(Data!N2="Performing",1,Data!N2="Arrears",2,Data!N2="Default",3)</f>
        <v>1</v>
      </c>
    </row>
    <row r="4" spans="1:19" x14ac:dyDescent="0.3">
      <c r="A4" t="s">
        <v>21</v>
      </c>
      <c r="B4" t="s">
        <v>22</v>
      </c>
      <c r="C4">
        <f>ROUND(ABS(Data!J3/Processing!D4),2)</f>
        <v>3.72</v>
      </c>
      <c r="D4" s="3">
        <f>ABS(PMT(Data!H3/12,Data!I3,Data!G3))</f>
        <v>17473.435689328053</v>
      </c>
      <c r="E4" s="5">
        <f>PRODUCT(D4,Data!I3)</f>
        <v>419362.4565438733</v>
      </c>
      <c r="F4" s="5">
        <f>E4-Data!G3</f>
        <v>69362.456543873297</v>
      </c>
      <c r="G4" s="6" t="str" cm="1">
        <f t="array" ref="G4">_xlfn.IFS(Data!D3&lt;30,"Young",Data!D3&lt;40,"Mid",Data!D3&gt;40,"Senior")</f>
        <v>Young</v>
      </c>
      <c r="H4" t="str" cm="1">
        <f t="array" ref="H4">_xlfn.IFS(Data!K3&gt;=700,"Low",Data!K3&gt;=650,"Medium",Data!K3&lt;=650,"High")</f>
        <v>Medium</v>
      </c>
      <c r="I4" cm="1">
        <f t="array" ref="I4">_xlfn.IFS(Data!N3="Performing",1,Data!N3="Arrears",2,Data!N3="Default",3)</f>
        <v>1</v>
      </c>
    </row>
    <row r="5" spans="1:19" x14ac:dyDescent="0.3">
      <c r="A5" t="s">
        <v>26</v>
      </c>
      <c r="B5" t="s">
        <v>27</v>
      </c>
      <c r="C5">
        <f>ROUND(ABS(Data!J4/Processing!D5),2)</f>
        <v>3.59</v>
      </c>
      <c r="D5" s="3">
        <f>ABS(PMT(Data!H4/12,Data!I4,Data!G4))</f>
        <v>33396.897919771494</v>
      </c>
      <c r="E5" s="5">
        <f>PRODUCT(D5,Data!I4)</f>
        <v>1603051.1001490317</v>
      </c>
      <c r="F5" s="5">
        <f>E5-Data!G4</f>
        <v>403051.10014903173</v>
      </c>
      <c r="G5" s="6" t="str" cm="1">
        <f t="array" ref="G5">_xlfn.IFS(Data!D4&lt;30,"Young",Data!D4&lt;40,"Mid",Data!D4&gt;40,"Senior")</f>
        <v>Senior</v>
      </c>
      <c r="H5" t="str" cm="1">
        <f t="array" ref="H5">_xlfn.IFS(Data!K4&gt;=700,"Low",Data!K4&gt;=650,"Medium",Data!K4&lt;=650,"High")</f>
        <v>Low</v>
      </c>
      <c r="I5" cm="1">
        <f t="array" ref="I5">_xlfn.IFS(Data!N4="Performing",1,Data!N4="Arrears",2,Data!N4="Default",3)</f>
        <v>1</v>
      </c>
    </row>
    <row r="6" spans="1:19" x14ac:dyDescent="0.3">
      <c r="A6" t="s">
        <v>29</v>
      </c>
      <c r="B6" t="s">
        <v>30</v>
      </c>
      <c r="C6">
        <f>ROUND(ABS(Data!J5/Processing!D6),2)</f>
        <v>3.6</v>
      </c>
      <c r="D6" s="3">
        <f>ABS(PMT(Data!H5/12,Data!I5,Data!G5))</f>
        <v>11657.376109082203</v>
      </c>
      <c r="E6" s="5">
        <f>PRODUCT(D6,Data!I5)</f>
        <v>209832.76996347966</v>
      </c>
      <c r="F6" s="5">
        <f>E6-Data!G5</f>
        <v>29832.769963479659</v>
      </c>
      <c r="G6" s="6" t="str" cm="1">
        <f t="array" ref="G6">_xlfn.IFS(Data!D5&lt;30,"Young",Data!D5&lt;40,"Mid",Data!D5&gt;40,"Senior")</f>
        <v>Mid</v>
      </c>
      <c r="H6" t="str" cm="1">
        <f t="array" ref="H6">_xlfn.IFS(Data!K5&gt;=700,"Low",Data!K5&gt;=650,"Medium",Data!K5&lt;=650,"High")</f>
        <v>High</v>
      </c>
      <c r="I6" cm="1">
        <f t="array" ref="I6">_xlfn.IFS(Data!N5="Performing",1,Data!N5="Arrears",2,Data!N5="Default",3)</f>
        <v>2</v>
      </c>
    </row>
    <row r="7" spans="1:19" x14ac:dyDescent="0.3">
      <c r="A7" t="s">
        <v>33</v>
      </c>
      <c r="B7" t="s">
        <v>34</v>
      </c>
      <c r="C7">
        <f>ROUND(ABS(Data!J6/Processing!D7),2)</f>
        <v>3.65</v>
      </c>
      <c r="D7" s="3">
        <f>ABS(PMT(Data!H6/12,Data!I6,Data!G6))</f>
        <v>20574.483474614306</v>
      </c>
      <c r="E7" s="5">
        <f>PRODUCT(D7,Data!I6)</f>
        <v>617234.50423842913</v>
      </c>
      <c r="F7" s="5">
        <f>E7-Data!G6</f>
        <v>117234.50423842913</v>
      </c>
      <c r="G7" s="6" t="str" cm="1">
        <f t="array" ref="G7">_xlfn.IFS(Data!D6&lt;30,"Young",Data!D6&lt;40,"Mid",Data!D6&gt;40,"Senior")</f>
        <v>Mid</v>
      </c>
      <c r="H7" t="str" cm="1">
        <f t="array" ref="H7">_xlfn.IFS(Data!K6&gt;=700,"Low",Data!K6&gt;=650,"Medium",Data!K6&lt;=650,"High")</f>
        <v>Medium</v>
      </c>
      <c r="I7" cm="1">
        <f t="array" ref="I7">_xlfn.IFS(Data!N6="Performing",1,Data!N6="Arrears",2,Data!N6="Default",3)</f>
        <v>1</v>
      </c>
    </row>
    <row r="8" spans="1:19" x14ac:dyDescent="0.3">
      <c r="A8" t="s">
        <v>36</v>
      </c>
      <c r="B8" t="s">
        <v>37</v>
      </c>
      <c r="C8">
        <f>ROUND(ABS(Data!J7/Processing!D8),2)</f>
        <v>3.66</v>
      </c>
      <c r="D8" s="3">
        <f>ABS(PMT(Data!H7/12,Data!I7,Data!G7))</f>
        <v>40989.714742570373</v>
      </c>
      <c r="E8" s="5">
        <f>PRODUCT(D8,Data!I7)</f>
        <v>1967506.3076433779</v>
      </c>
      <c r="F8" s="5">
        <f>E8-Data!G7</f>
        <v>467506.30764337792</v>
      </c>
      <c r="G8" s="6" t="str" cm="1">
        <f t="array" ref="G8">_xlfn.IFS(Data!D7&lt;30,"Young",Data!D7&lt;40,"Mid",Data!D7&gt;40,"Senior")</f>
        <v>Senior</v>
      </c>
      <c r="H8" t="str" cm="1">
        <f t="array" ref="H8">_xlfn.IFS(Data!K7&gt;=700,"Low",Data!K7&gt;=650,"Medium",Data!K7&lt;=650,"High")</f>
        <v>Low</v>
      </c>
      <c r="I8" cm="1">
        <f t="array" ref="I8">_xlfn.IFS(Data!N7="Performing",1,Data!N7="Arrears",2,Data!N7="Default",3)</f>
        <v>1</v>
      </c>
    </row>
    <row r="9" spans="1:19" x14ac:dyDescent="0.3">
      <c r="A9" t="s">
        <v>38</v>
      </c>
      <c r="B9" t="s">
        <v>39</v>
      </c>
      <c r="C9">
        <f>ROUND(ABS(Data!J8/Processing!D9),2)</f>
        <v>5.1100000000000003</v>
      </c>
      <c r="D9" s="3">
        <f>ABS(PMT(Data!H8/12,Data!I8,Data!G8))</f>
        <v>9786.7386651262805</v>
      </c>
      <c r="E9" s="5">
        <f>PRODUCT(D9,Data!I8)</f>
        <v>176161.29597227304</v>
      </c>
      <c r="F9" s="5">
        <f>E9-Data!G8</f>
        <v>26161.295972273045</v>
      </c>
      <c r="G9" s="6" t="str" cm="1">
        <f t="array" ref="G9">_xlfn.IFS(Data!D8&lt;30,"Young",Data!D8&lt;40,"Mid",Data!D8&gt;40,"Senior")</f>
        <v>Young</v>
      </c>
      <c r="H9" t="str" cm="1">
        <f t="array" ref="H9">_xlfn.IFS(Data!K8&gt;=700,"Low",Data!K8&gt;=650,"Medium",Data!K8&lt;=650,"High")</f>
        <v>High</v>
      </c>
      <c r="I9" cm="1">
        <f t="array" ref="I9">_xlfn.IFS(Data!N8="Performing",1,Data!N8="Arrears",2,Data!N8="Default",3)</f>
        <v>2</v>
      </c>
    </row>
    <row r="10" spans="1:19" x14ac:dyDescent="0.3">
      <c r="A10" t="s">
        <v>40</v>
      </c>
      <c r="B10" t="s">
        <v>41</v>
      </c>
      <c r="C10">
        <f>ROUND(ABS(Data!J9/Processing!D10),2)</f>
        <v>3.34</v>
      </c>
      <c r="D10" s="3">
        <f>ABS(PMT(Data!H9/12,Data!I9,Data!G9))</f>
        <v>20968.122827193663</v>
      </c>
      <c r="E10" s="5">
        <f>PRODUCT(D10,Data!I9)</f>
        <v>503234.94785264792</v>
      </c>
      <c r="F10" s="5">
        <f>E10-Data!G9</f>
        <v>83234.947852647922</v>
      </c>
      <c r="G10" s="6" t="str" cm="1">
        <f t="array" ref="G10">_xlfn.IFS(Data!D9&lt;30,"Young",Data!D9&lt;40,"Mid",Data!D9&gt;40,"Senior")</f>
        <v>Mid</v>
      </c>
      <c r="H10" t="str" cm="1">
        <f t="array" ref="H10">_xlfn.IFS(Data!K9&gt;=700,"Low",Data!K9&gt;=650,"Medium",Data!K9&lt;=650,"High")</f>
        <v>Medium</v>
      </c>
      <c r="I10" cm="1">
        <f t="array" ref="I10">_xlfn.IFS(Data!N9="Performing",1,Data!N9="Arrears",2,Data!N9="Default",3)</f>
        <v>1</v>
      </c>
    </row>
    <row r="11" spans="1:19" x14ac:dyDescent="0.3">
      <c r="A11" t="s">
        <v>42</v>
      </c>
      <c r="B11" t="s">
        <v>43</v>
      </c>
      <c r="C11">
        <f>ROUND(ABS(Data!J10/Processing!D11),2)</f>
        <v>2.73</v>
      </c>
      <c r="D11" s="3">
        <f>ABS(PMT(Data!H10/12,Data!I10,Data!G10))</f>
        <v>32932.062078984425</v>
      </c>
      <c r="E11" s="5">
        <f>PRODUCT(D11,Data!I10)</f>
        <v>1185554.2348434394</v>
      </c>
      <c r="F11" s="5">
        <f>E11-Data!G10</f>
        <v>235554.23484343942</v>
      </c>
      <c r="G11" s="6" t="str" cm="1">
        <f t="array" ref="G11">_xlfn.IFS(Data!D10&lt;30,"Young",Data!D10&lt;40,"Mid",Data!D10&gt;40,"Senior")</f>
        <v>Mid</v>
      </c>
      <c r="H11" t="str" cm="1">
        <f t="array" ref="H11">_xlfn.IFS(Data!K10&gt;=700,"Low",Data!K10&gt;=650,"Medium",Data!K10&lt;=650,"High")</f>
        <v>Low</v>
      </c>
      <c r="I11" cm="1">
        <f t="array" ref="I11">_xlfn.IFS(Data!N10="Performing",1,Data!N10="Arrears",2,Data!N10="Default",3)</f>
        <v>1</v>
      </c>
    </row>
    <row r="12" spans="1:19" x14ac:dyDescent="0.3">
      <c r="A12" t="s">
        <v>45</v>
      </c>
      <c r="B12" t="s">
        <v>46</v>
      </c>
      <c r="C12">
        <f>ROUND(ABS(Data!J11/Processing!D12),2)</f>
        <v>3.42</v>
      </c>
      <c r="D12" s="3">
        <f>ABS(PMT(Data!H11/12,Data!I11,Data!G11))</f>
        <v>13145.730441143072</v>
      </c>
      <c r="E12" s="5">
        <f>PRODUCT(D12,Data!I11)</f>
        <v>236623.14794057529</v>
      </c>
      <c r="F12" s="5">
        <f>E12-Data!G11</f>
        <v>36623.147940575291</v>
      </c>
      <c r="G12" s="6" t="str" cm="1">
        <f t="array" ref="G12">_xlfn.IFS(Data!D11&lt;30,"Young",Data!D11&lt;40,"Mid",Data!D11&gt;40,"Senior")</f>
        <v>Young</v>
      </c>
      <c r="H12" t="str" cm="1">
        <f t="array" ref="H12">_xlfn.IFS(Data!K11&gt;=700,"Low",Data!K11&gt;=650,"Medium",Data!K11&lt;=650,"High")</f>
        <v>High</v>
      </c>
      <c r="I12" cm="1">
        <f t="array" ref="I12">_xlfn.IFS(Data!N11="Performing",1,Data!N11="Arrears",2,Data!N11="Default",3)</f>
        <v>3</v>
      </c>
    </row>
    <row r="13" spans="1:19" x14ac:dyDescent="0.3">
      <c r="A13" t="s">
        <v>48</v>
      </c>
      <c r="B13" t="s">
        <v>49</v>
      </c>
      <c r="C13">
        <f>ROUND(ABS(Data!J12/Processing!D13),2)</f>
        <v>3.24</v>
      </c>
      <c r="D13" s="3">
        <f>ABS(PMT(Data!H12/12,Data!I12,Data!G12))</f>
        <v>24689.380169537169</v>
      </c>
      <c r="E13" s="5">
        <f>PRODUCT(D13,Data!I12)</f>
        <v>740681.40508611512</v>
      </c>
      <c r="F13" s="5">
        <f>E13-Data!G12</f>
        <v>140681.40508611512</v>
      </c>
      <c r="G13" s="6" t="str" cm="1">
        <f t="array" ref="G13">_xlfn.IFS(Data!D12&lt;30,"Young",Data!D12&lt;40,"Mid",Data!D12&gt;40,"Senior")</f>
        <v>Mid</v>
      </c>
      <c r="H13" t="str" cm="1">
        <f t="array" ref="H13">_xlfn.IFS(Data!K12&gt;=700,"Low",Data!K12&gt;=650,"Medium",Data!K12&lt;=650,"High")</f>
        <v>Medium</v>
      </c>
      <c r="I13" cm="1">
        <f t="array" ref="I13">_xlfn.IFS(Data!N12="Performing",1,Data!N12="Arrears",2,Data!N12="Default",3)</f>
        <v>1</v>
      </c>
    </row>
    <row r="14" spans="1:19" x14ac:dyDescent="0.3">
      <c r="A14" t="s">
        <v>51</v>
      </c>
      <c r="B14" t="s">
        <v>52</v>
      </c>
      <c r="C14">
        <f>ROUND(ABS(Data!J13/Processing!D14),2)</f>
        <v>3.76</v>
      </c>
      <c r="D14" s="3">
        <f>ABS(PMT(Data!H13/12,Data!I13,Data!G13))</f>
        <v>30613.823093123872</v>
      </c>
      <c r="E14" s="5">
        <f>PRODUCT(D14,Data!I13)</f>
        <v>1469463.5084699458</v>
      </c>
      <c r="F14" s="5">
        <f>E14-Data!G13</f>
        <v>369463.50846994575</v>
      </c>
      <c r="G14" s="6" t="str" cm="1">
        <f t="array" ref="G14">_xlfn.IFS(Data!D13&lt;30,"Young",Data!D13&lt;40,"Mid",Data!D13&gt;40,"Senior")</f>
        <v>Senior</v>
      </c>
      <c r="H14" t="str" cm="1">
        <f t="array" ref="H14">_xlfn.IFS(Data!K13&gt;=700,"Low",Data!K13&gt;=650,"Medium",Data!K13&lt;=650,"High")</f>
        <v>Low</v>
      </c>
      <c r="I14" cm="1">
        <f t="array" ref="I14">_xlfn.IFS(Data!N13="Performing",1,Data!N13="Arrears",2,Data!N13="Default",3)</f>
        <v>1</v>
      </c>
    </row>
    <row r="15" spans="1:19" x14ac:dyDescent="0.3">
      <c r="A15" t="s">
        <v>53</v>
      </c>
      <c r="B15" t="s">
        <v>54</v>
      </c>
      <c r="C15">
        <f>ROUND(ABS(Data!J14/Processing!D15),2)</f>
        <v>3.35</v>
      </c>
      <c r="D15" s="3">
        <f>ABS(PMT(Data!H14/12,Data!I14,Data!G14))</f>
        <v>11333.560106052142</v>
      </c>
      <c r="E15" s="5">
        <f>PRODUCT(D15,Data!I14)</f>
        <v>204004.08190893856</v>
      </c>
      <c r="F15" s="5">
        <f>E15-Data!G14</f>
        <v>29004.081908938562</v>
      </c>
      <c r="G15" s="6" t="str" cm="1">
        <f t="array" ref="G15">_xlfn.IFS(Data!D14&lt;30,"Young",Data!D14&lt;40,"Mid",Data!D14&gt;40,"Senior")</f>
        <v>Mid</v>
      </c>
      <c r="H15" t="str" cm="1">
        <f t="array" ref="H15">_xlfn.IFS(Data!K14&gt;=700,"Low",Data!K14&gt;=650,"Medium",Data!K14&lt;=650,"High")</f>
        <v>High</v>
      </c>
      <c r="I15" cm="1">
        <f t="array" ref="I15">_xlfn.IFS(Data!N14="Performing",1,Data!N14="Arrears",2,Data!N14="Default",3)</f>
        <v>2</v>
      </c>
    </row>
    <row r="16" spans="1:19" x14ac:dyDescent="0.3">
      <c r="A16" t="s">
        <v>55</v>
      </c>
      <c r="B16" t="s">
        <v>56</v>
      </c>
      <c r="C16">
        <f>ROUND(ABS(Data!J15/Processing!D16),2)</f>
        <v>3.03</v>
      </c>
      <c r="D16" s="3">
        <f>ABS(PMT(Data!H15/12,Data!I15,Data!G15))</f>
        <v>22465.845886278927</v>
      </c>
      <c r="E16" s="5">
        <f>PRODUCT(D16,Data!I15)</f>
        <v>539180.30127069424</v>
      </c>
      <c r="F16" s="5">
        <f>E16-Data!G15</f>
        <v>89180.301270694239</v>
      </c>
      <c r="G16" s="6" t="str" cm="1">
        <f t="array" ref="G16">_xlfn.IFS(Data!D15&lt;30,"Young",Data!D15&lt;40,"Mid",Data!D15&gt;40,"Senior")</f>
        <v>Mid</v>
      </c>
      <c r="H16" t="str" cm="1">
        <f t="array" ref="H16">_xlfn.IFS(Data!K15&gt;=700,"Low",Data!K15&gt;=650,"Medium",Data!K15&lt;=650,"High")</f>
        <v>Medium</v>
      </c>
      <c r="I16" cm="1">
        <f t="array" ref="I16">_xlfn.IFS(Data!N15="Performing",1,Data!N15="Arrears",2,Data!N15="Default",3)</f>
        <v>1</v>
      </c>
    </row>
    <row r="17" spans="1:9" x14ac:dyDescent="0.3">
      <c r="A17" t="s">
        <v>57</v>
      </c>
      <c r="B17" t="s">
        <v>58</v>
      </c>
      <c r="C17">
        <f>ROUND(ABS(Data!J16/Processing!D17),2)</f>
        <v>3.79</v>
      </c>
      <c r="D17" s="3">
        <f>ABS(PMT(Data!H16/12,Data!I16,Data!G16))</f>
        <v>36890.74326831333</v>
      </c>
      <c r="E17" s="5">
        <f>PRODUCT(D17,Data!I16)</f>
        <v>1770755.67687904</v>
      </c>
      <c r="F17" s="5">
        <f>E17-Data!G16</f>
        <v>420755.67687903997</v>
      </c>
      <c r="G17" s="6" t="str" cm="1">
        <f t="array" ref="G17">_xlfn.IFS(Data!D16&lt;30,"Young",Data!D16&lt;40,"Mid",Data!D16&gt;40,"Senior")</f>
        <v>Senior</v>
      </c>
      <c r="H17" t="str" cm="1">
        <f t="array" ref="H17">_xlfn.IFS(Data!K16&gt;=700,"Low",Data!K16&gt;=650,"Medium",Data!K16&lt;=650,"High")</f>
        <v>Low</v>
      </c>
      <c r="I17" cm="1">
        <f t="array" ref="I17">_xlfn.IFS(Data!N16="Performing",1,Data!N16="Arrears",2,Data!N16="Default",3)</f>
        <v>1</v>
      </c>
    </row>
    <row r="18" spans="1:9" x14ac:dyDescent="0.3">
      <c r="A18" t="s">
        <v>59</v>
      </c>
      <c r="B18" t="s">
        <v>60</v>
      </c>
      <c r="C18">
        <f>ROUND(ABS(Data!J17/Processing!D18),2)</f>
        <v>2.87</v>
      </c>
      <c r="D18" s="3">
        <f>ABS(PMT(Data!H17/12,Data!I17,Data!G17))</f>
        <v>19155.274537693069</v>
      </c>
      <c r="E18" s="5">
        <f>PRODUCT(D18,Data!I17)</f>
        <v>459726.58890463365</v>
      </c>
      <c r="F18" s="5">
        <f>E18-Data!G17</f>
        <v>79726.588904633652</v>
      </c>
      <c r="G18" s="6" t="str" cm="1">
        <f t="array" ref="G18">_xlfn.IFS(Data!D17&lt;30,"Young",Data!D17&lt;40,"Mid",Data!D17&gt;40,"Senior")</f>
        <v>Mid</v>
      </c>
      <c r="H18" t="str" cm="1">
        <f t="array" ref="H18">_xlfn.IFS(Data!K17&gt;=700,"Low",Data!K17&gt;=650,"Medium",Data!K17&lt;=650,"High")</f>
        <v>Medium</v>
      </c>
      <c r="I18" cm="1">
        <f t="array" ref="I18">_xlfn.IFS(Data!N17="Performing",1,Data!N17="Arrears",2,Data!N17="Default",3)</f>
        <v>1</v>
      </c>
    </row>
    <row r="19" spans="1:9" x14ac:dyDescent="0.3">
      <c r="A19" t="s">
        <v>61</v>
      </c>
      <c r="B19" t="s">
        <v>62</v>
      </c>
      <c r="C19">
        <f>ROUND(ABS(Data!J18/Processing!D19),2)</f>
        <v>2.7</v>
      </c>
      <c r="D19" s="3">
        <f>ABS(PMT(Data!H18/12,Data!I18,Data!G18))</f>
        <v>35157.033036350098</v>
      </c>
      <c r="E19" s="5">
        <f>PRODUCT(D19,Data!I18)</f>
        <v>1265653.1893086035</v>
      </c>
      <c r="F19" s="5">
        <f>E19-Data!G18</f>
        <v>265653.18930860353</v>
      </c>
      <c r="G19" s="6" t="str" cm="1">
        <f t="array" ref="G19">_xlfn.IFS(Data!D18&lt;30,"Young",Data!D18&lt;40,"Mid",Data!D18&gt;40,"Senior")</f>
        <v>Senior</v>
      </c>
      <c r="H19" t="str" cm="1">
        <f t="array" ref="H19">_xlfn.IFS(Data!K18&gt;=700,"Low",Data!K18&gt;=650,"Medium",Data!K18&lt;=650,"High")</f>
        <v>Medium</v>
      </c>
      <c r="I19" cm="1">
        <f t="array" ref="I19">_xlfn.IFS(Data!N18="Performing",1,Data!N18="Arrears",2,Data!N18="Default",3)</f>
        <v>2</v>
      </c>
    </row>
    <row r="20" spans="1:9" x14ac:dyDescent="0.3">
      <c r="A20" t="s">
        <v>63</v>
      </c>
      <c r="B20" t="s">
        <v>64</v>
      </c>
      <c r="C20">
        <f>ROUND(ABS(Data!J19/Processing!D20),2)</f>
        <v>3.83</v>
      </c>
      <c r="D20" s="3">
        <f>ABS(PMT(Data!H19/12,Data!I19,Data!G19))</f>
        <v>10439.187909468033</v>
      </c>
      <c r="E20" s="5">
        <f>PRODUCT(D20,Data!I19)</f>
        <v>187905.3823704246</v>
      </c>
      <c r="F20" s="5">
        <f>E20-Data!G19</f>
        <v>27905.382370424602</v>
      </c>
      <c r="G20" s="6" t="str" cm="1">
        <f t="array" ref="G20">_xlfn.IFS(Data!D19&lt;30,"Young",Data!D19&lt;40,"Mid",Data!D19&gt;40,"Senior")</f>
        <v>Young</v>
      </c>
      <c r="H20" t="str" cm="1">
        <f t="array" ref="H20">_xlfn.IFS(Data!K19&gt;=700,"Low",Data!K19&gt;=650,"Medium",Data!K19&lt;=650,"High")</f>
        <v>High</v>
      </c>
      <c r="I20" cm="1">
        <f t="array" ref="I20">_xlfn.IFS(Data!N19="Performing",1,Data!N19="Arrears",2,Data!N19="Default",3)</f>
        <v>1</v>
      </c>
    </row>
    <row r="21" spans="1:9" x14ac:dyDescent="0.3">
      <c r="A21" t="s">
        <v>65</v>
      </c>
      <c r="B21" t="s">
        <v>66</v>
      </c>
      <c r="C21">
        <f>ROUND(ABS(Data!J20/Processing!D21),2)</f>
        <v>3.76</v>
      </c>
      <c r="D21" s="3">
        <f>ABS(PMT(Data!H20/12,Data!I20,Data!G20))</f>
        <v>22631.931822075738</v>
      </c>
      <c r="E21" s="5">
        <f>PRODUCT(D21,Data!I20)</f>
        <v>678957.95466227212</v>
      </c>
      <c r="F21" s="5">
        <f>E21-Data!G20</f>
        <v>128957.95466227212</v>
      </c>
      <c r="G21" s="6" t="str" cm="1">
        <f t="array" ref="G21">_xlfn.IFS(Data!D20&lt;30,"Young",Data!D20&lt;40,"Mid",Data!D20&gt;40,"Senior")</f>
        <v>Mid</v>
      </c>
      <c r="H21" t="str" cm="1">
        <f t="array" ref="H21">_xlfn.IFS(Data!K20&gt;=700,"Low",Data!K20&gt;=650,"Medium",Data!K20&lt;=650,"High")</f>
        <v>Low</v>
      </c>
      <c r="I21" cm="1">
        <f t="array" ref="I21">_xlfn.IFS(Data!N20="Performing",1,Data!N20="Arrears",2,Data!N20="Default",3)</f>
        <v>1</v>
      </c>
    </row>
    <row r="22" spans="1:9" x14ac:dyDescent="0.3">
      <c r="A22" t="s">
        <v>67</v>
      </c>
      <c r="B22" t="s">
        <v>68</v>
      </c>
      <c r="C22">
        <f>ROUND(ABS(Data!J21/Processing!D22),2)</f>
        <v>3.74</v>
      </c>
      <c r="D22" s="3">
        <f>ABS(PMT(Data!H21/12,Data!I21,Data!G21))</f>
        <v>34788.435333095309</v>
      </c>
      <c r="E22" s="5">
        <f>PRODUCT(D22,Data!I21)</f>
        <v>1669844.8959885747</v>
      </c>
      <c r="F22" s="5">
        <f>E22-Data!G21</f>
        <v>419844.89598857472</v>
      </c>
      <c r="G22" s="6" t="str" cm="1">
        <f t="array" ref="G22">_xlfn.IFS(Data!D21&lt;30,"Young",Data!D21&lt;40,"Mid",Data!D21&gt;40,"Senior")</f>
        <v>Senior</v>
      </c>
      <c r="H22" t="str" cm="1">
        <f t="array" ref="H22">_xlfn.IFS(Data!K21&gt;=700,"Low",Data!K21&gt;=650,"Medium",Data!K21&lt;=650,"High")</f>
        <v>Low</v>
      </c>
      <c r="I22" cm="1">
        <f t="array" ref="I22">_xlfn.IFS(Data!N21="Performing",1,Data!N21="Arrears",2,Data!N21="Default",3)</f>
        <v>1</v>
      </c>
    </row>
  </sheetData>
  <mergeCells count="1">
    <mergeCell ref="K2:S2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2C06D-F3C2-4DAB-9977-80816456575F}">
  <dimension ref="A1:V21"/>
  <sheetViews>
    <sheetView topLeftCell="F1" workbookViewId="0">
      <selection activeCell="K26" sqref="K26"/>
    </sheetView>
  </sheetViews>
  <sheetFormatPr defaultRowHeight="14.4" x14ac:dyDescent="0.3"/>
  <cols>
    <col min="1" max="1" width="9.21875" bestFit="1" customWidth="1"/>
    <col min="2" max="2" width="14.88671875" bestFit="1" customWidth="1"/>
    <col min="3" max="3" width="9.33203125" bestFit="1" customWidth="1"/>
    <col min="4" max="4" width="6.21875" bestFit="1" customWidth="1"/>
    <col min="5" max="5" width="10.5546875" bestFit="1" customWidth="1"/>
    <col min="6" max="6" width="12.21875" bestFit="1" customWidth="1"/>
    <col min="7" max="7" width="13.88671875" bestFit="1" customWidth="1"/>
    <col min="8" max="8" width="13.77734375" bestFit="1" customWidth="1"/>
    <col min="9" max="9" width="15.109375" bestFit="1" customWidth="1"/>
    <col min="10" max="10" width="16.44140625" bestFit="1" customWidth="1"/>
    <col min="11" max="11" width="13.5546875" bestFit="1" customWidth="1"/>
    <col min="12" max="12" width="13.77734375" bestFit="1" customWidth="1"/>
    <col min="13" max="13" width="13.33203125" bestFit="1" customWidth="1"/>
    <col min="14" max="14" width="9.88671875" bestFit="1" customWidth="1"/>
    <col min="15" max="15" width="17.21875" bestFit="1" customWidth="1"/>
    <col min="16" max="16" width="24.21875" customWidth="1"/>
    <col min="17" max="17" width="23.88671875" bestFit="1" customWidth="1"/>
    <col min="18" max="18" width="23.5546875" bestFit="1" customWidth="1"/>
    <col min="19" max="19" width="22.109375" bestFit="1" customWidth="1"/>
    <col min="20" max="20" width="17.88671875" bestFit="1" customWidth="1"/>
    <col min="21" max="21" width="26" bestFit="1" customWidth="1"/>
    <col min="22" max="22" width="27.886718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</row>
    <row r="2" spans="1:22" x14ac:dyDescent="0.3">
      <c r="A2" s="13" t="s">
        <v>15</v>
      </c>
      <c r="B2" s="13" t="s">
        <v>16</v>
      </c>
      <c r="C2" s="13" t="s">
        <v>17</v>
      </c>
      <c r="D2">
        <v>34</v>
      </c>
      <c r="E2" s="13" t="s">
        <v>18</v>
      </c>
      <c r="F2" s="13" t="s">
        <v>19</v>
      </c>
      <c r="G2">
        <v>850000</v>
      </c>
      <c r="H2">
        <v>0.14000000000000001</v>
      </c>
      <c r="I2">
        <v>36</v>
      </c>
      <c r="J2">
        <v>85000</v>
      </c>
      <c r="K2">
        <v>720</v>
      </c>
      <c r="L2">
        <v>425000</v>
      </c>
      <c r="M2">
        <v>425000</v>
      </c>
      <c r="N2" s="13" t="s">
        <v>20</v>
      </c>
      <c r="O2" s="14">
        <v>46027</v>
      </c>
      <c r="P2">
        <v>2.93</v>
      </c>
      <c r="Q2">
        <v>29050.9853</v>
      </c>
      <c r="R2">
        <v>1045835.4706</v>
      </c>
      <c r="S2">
        <v>195835.4706</v>
      </c>
      <c r="T2" s="13" t="s">
        <v>93</v>
      </c>
      <c r="U2" s="13" t="s">
        <v>94</v>
      </c>
      <c r="V2">
        <v>1</v>
      </c>
    </row>
    <row r="3" spans="1:22" x14ac:dyDescent="0.3">
      <c r="A3" s="13" t="s">
        <v>21</v>
      </c>
      <c r="B3" s="13" t="s">
        <v>22</v>
      </c>
      <c r="C3" s="13" t="s">
        <v>23</v>
      </c>
      <c r="D3">
        <v>29</v>
      </c>
      <c r="E3" s="13" t="s">
        <v>24</v>
      </c>
      <c r="F3" s="13" t="s">
        <v>25</v>
      </c>
      <c r="G3">
        <v>350000</v>
      </c>
      <c r="H3">
        <v>0.18</v>
      </c>
      <c r="I3">
        <v>24</v>
      </c>
      <c r="J3">
        <v>65000</v>
      </c>
      <c r="K3">
        <v>680</v>
      </c>
      <c r="L3">
        <v>175000</v>
      </c>
      <c r="M3">
        <v>175000</v>
      </c>
      <c r="N3" s="13" t="s">
        <v>20</v>
      </c>
      <c r="O3" s="14">
        <v>46030</v>
      </c>
      <c r="P3">
        <v>3.72</v>
      </c>
      <c r="Q3">
        <v>17473.435700000002</v>
      </c>
      <c r="R3">
        <v>419362.45649999997</v>
      </c>
      <c r="S3">
        <v>69362.4565</v>
      </c>
      <c r="T3" s="13" t="s">
        <v>95</v>
      </c>
      <c r="U3" s="13" t="s">
        <v>96</v>
      </c>
      <c r="V3">
        <v>1</v>
      </c>
    </row>
    <row r="4" spans="1:22" x14ac:dyDescent="0.3">
      <c r="A4" s="13" t="s">
        <v>26</v>
      </c>
      <c r="B4" s="13" t="s">
        <v>27</v>
      </c>
      <c r="C4" s="13" t="s">
        <v>17</v>
      </c>
      <c r="D4">
        <v>42</v>
      </c>
      <c r="E4" s="13" t="s">
        <v>28</v>
      </c>
      <c r="F4" s="13" t="s">
        <v>19</v>
      </c>
      <c r="G4">
        <v>1200000</v>
      </c>
      <c r="H4">
        <v>0.15</v>
      </c>
      <c r="I4">
        <v>48</v>
      </c>
      <c r="J4">
        <v>120000</v>
      </c>
      <c r="K4">
        <v>710</v>
      </c>
      <c r="L4">
        <v>300000</v>
      </c>
      <c r="M4">
        <v>900000</v>
      </c>
      <c r="N4" s="13" t="s">
        <v>20</v>
      </c>
      <c r="O4" s="14">
        <v>46032</v>
      </c>
      <c r="P4">
        <v>3.59</v>
      </c>
      <c r="Q4">
        <v>33396.897900000004</v>
      </c>
      <c r="R4">
        <v>1603051.1000999999</v>
      </c>
      <c r="S4">
        <v>403051.10009999998</v>
      </c>
      <c r="T4" s="13" t="s">
        <v>97</v>
      </c>
      <c r="U4" s="13" t="s">
        <v>94</v>
      </c>
      <c r="V4">
        <v>1</v>
      </c>
    </row>
    <row r="5" spans="1:22" x14ac:dyDescent="0.3">
      <c r="A5" s="13" t="s">
        <v>29</v>
      </c>
      <c r="B5" s="13" t="s">
        <v>30</v>
      </c>
      <c r="C5" s="13" t="s">
        <v>23</v>
      </c>
      <c r="D5">
        <v>37</v>
      </c>
      <c r="E5" s="13" t="s">
        <v>18</v>
      </c>
      <c r="F5" s="13" t="s">
        <v>31</v>
      </c>
      <c r="G5">
        <v>180000</v>
      </c>
      <c r="H5">
        <v>0.2</v>
      </c>
      <c r="I5">
        <v>18</v>
      </c>
      <c r="J5">
        <v>42000</v>
      </c>
      <c r="K5">
        <v>610</v>
      </c>
      <c r="L5">
        <v>60000</v>
      </c>
      <c r="M5">
        <v>120000</v>
      </c>
      <c r="N5" s="13" t="s">
        <v>32</v>
      </c>
      <c r="O5" s="14">
        <v>46034</v>
      </c>
      <c r="P5">
        <v>3.6</v>
      </c>
      <c r="Q5">
        <v>11657.376099999999</v>
      </c>
      <c r="R5">
        <v>209832.77</v>
      </c>
      <c r="S5">
        <v>29832.77</v>
      </c>
      <c r="T5" s="13" t="s">
        <v>93</v>
      </c>
      <c r="U5" s="13" t="s">
        <v>98</v>
      </c>
      <c r="V5">
        <v>2</v>
      </c>
    </row>
    <row r="6" spans="1:22" x14ac:dyDescent="0.3">
      <c r="A6" s="13" t="s">
        <v>33</v>
      </c>
      <c r="B6" s="13" t="s">
        <v>34</v>
      </c>
      <c r="C6" s="13" t="s">
        <v>17</v>
      </c>
      <c r="D6">
        <v>31</v>
      </c>
      <c r="E6" s="13" t="s">
        <v>35</v>
      </c>
      <c r="F6" s="13" t="s">
        <v>25</v>
      </c>
      <c r="G6">
        <v>500000</v>
      </c>
      <c r="H6">
        <v>0.17</v>
      </c>
      <c r="I6">
        <v>30</v>
      </c>
      <c r="J6">
        <v>75000</v>
      </c>
      <c r="K6">
        <v>695</v>
      </c>
      <c r="L6">
        <v>250000</v>
      </c>
      <c r="M6">
        <v>250000</v>
      </c>
      <c r="N6" s="13" t="s">
        <v>20</v>
      </c>
      <c r="O6" s="14">
        <v>46037</v>
      </c>
      <c r="P6">
        <v>3.65</v>
      </c>
      <c r="Q6">
        <v>20574.483499999998</v>
      </c>
      <c r="R6">
        <v>617234.50419999997</v>
      </c>
      <c r="S6">
        <v>117234.5042</v>
      </c>
      <c r="T6" s="13" t="s">
        <v>93</v>
      </c>
      <c r="U6" s="13" t="s">
        <v>96</v>
      </c>
      <c r="V6">
        <v>1</v>
      </c>
    </row>
    <row r="7" spans="1:22" x14ac:dyDescent="0.3">
      <c r="A7" s="13" t="s">
        <v>36</v>
      </c>
      <c r="B7" s="13" t="s">
        <v>37</v>
      </c>
      <c r="C7" s="13" t="s">
        <v>23</v>
      </c>
      <c r="D7">
        <v>45</v>
      </c>
      <c r="E7" s="13" t="s">
        <v>24</v>
      </c>
      <c r="F7" s="13" t="s">
        <v>19</v>
      </c>
      <c r="G7">
        <v>1500000</v>
      </c>
      <c r="H7">
        <v>0.14000000000000001</v>
      </c>
      <c r="I7">
        <v>48</v>
      </c>
      <c r="J7">
        <v>150000</v>
      </c>
      <c r="K7">
        <v>735</v>
      </c>
      <c r="L7">
        <v>375000</v>
      </c>
      <c r="M7">
        <v>1125000</v>
      </c>
      <c r="N7" s="13" t="s">
        <v>20</v>
      </c>
      <c r="O7" s="14">
        <v>46040</v>
      </c>
      <c r="P7">
        <v>3.66</v>
      </c>
      <c r="Q7">
        <v>40989.714699999997</v>
      </c>
      <c r="R7">
        <v>1967506.3075999999</v>
      </c>
      <c r="S7">
        <v>467506.3076</v>
      </c>
      <c r="T7" s="13" t="s">
        <v>97</v>
      </c>
      <c r="U7" s="13" t="s">
        <v>94</v>
      </c>
      <c r="V7">
        <v>1</v>
      </c>
    </row>
    <row r="8" spans="1:22" x14ac:dyDescent="0.3">
      <c r="A8" s="13" t="s">
        <v>38</v>
      </c>
      <c r="B8" s="13" t="s">
        <v>39</v>
      </c>
      <c r="C8" s="13" t="s">
        <v>17</v>
      </c>
      <c r="D8">
        <v>28</v>
      </c>
      <c r="E8" s="13" t="s">
        <v>28</v>
      </c>
      <c r="F8" s="13" t="s">
        <v>31</v>
      </c>
      <c r="G8">
        <v>150000</v>
      </c>
      <c r="H8">
        <v>0.21</v>
      </c>
      <c r="I8">
        <v>18</v>
      </c>
      <c r="J8">
        <v>50000</v>
      </c>
      <c r="K8">
        <v>590</v>
      </c>
      <c r="L8">
        <v>50000</v>
      </c>
      <c r="M8">
        <v>100000</v>
      </c>
      <c r="N8" s="13" t="s">
        <v>32</v>
      </c>
      <c r="O8" s="14">
        <v>46042</v>
      </c>
      <c r="P8">
        <v>5.1100000000000003</v>
      </c>
      <c r="Q8">
        <v>9786.7386999999999</v>
      </c>
      <c r="R8">
        <v>176161.296</v>
      </c>
      <c r="S8">
        <v>26161.295999999998</v>
      </c>
      <c r="T8" s="13" t="s">
        <v>95</v>
      </c>
      <c r="U8" s="13" t="s">
        <v>98</v>
      </c>
      <c r="V8">
        <v>2</v>
      </c>
    </row>
    <row r="9" spans="1:22" x14ac:dyDescent="0.3">
      <c r="A9" s="13" t="s">
        <v>40</v>
      </c>
      <c r="B9" s="13" t="s">
        <v>41</v>
      </c>
      <c r="C9" s="13" t="s">
        <v>23</v>
      </c>
      <c r="D9">
        <v>33</v>
      </c>
      <c r="E9" s="13" t="s">
        <v>18</v>
      </c>
      <c r="F9" s="13" t="s">
        <v>25</v>
      </c>
      <c r="G9">
        <v>420000</v>
      </c>
      <c r="H9">
        <v>0.18</v>
      </c>
      <c r="I9">
        <v>24</v>
      </c>
      <c r="J9">
        <v>70000</v>
      </c>
      <c r="K9">
        <v>665</v>
      </c>
      <c r="L9">
        <v>315000</v>
      </c>
      <c r="M9">
        <v>105000</v>
      </c>
      <c r="N9" s="13" t="s">
        <v>20</v>
      </c>
      <c r="O9" s="14">
        <v>46044</v>
      </c>
      <c r="P9">
        <v>3.34</v>
      </c>
      <c r="Q9">
        <v>20968.122800000001</v>
      </c>
      <c r="R9">
        <v>503234.94790000003</v>
      </c>
      <c r="S9">
        <v>83234.947899999999</v>
      </c>
      <c r="T9" s="13" t="s">
        <v>93</v>
      </c>
      <c r="U9" s="13" t="s">
        <v>96</v>
      </c>
      <c r="V9">
        <v>1</v>
      </c>
    </row>
    <row r="10" spans="1:22" x14ac:dyDescent="0.3">
      <c r="A10" s="13" t="s">
        <v>42</v>
      </c>
      <c r="B10" s="13" t="s">
        <v>43</v>
      </c>
      <c r="C10" s="13" t="s">
        <v>17</v>
      </c>
      <c r="D10">
        <v>39</v>
      </c>
      <c r="E10" s="13" t="s">
        <v>44</v>
      </c>
      <c r="F10" s="13" t="s">
        <v>19</v>
      </c>
      <c r="G10">
        <v>950000</v>
      </c>
      <c r="H10">
        <v>0.15</v>
      </c>
      <c r="I10">
        <v>36</v>
      </c>
      <c r="J10">
        <v>90000</v>
      </c>
      <c r="K10">
        <v>705</v>
      </c>
      <c r="L10">
        <v>475000</v>
      </c>
      <c r="M10">
        <v>475000</v>
      </c>
      <c r="N10" s="13" t="s">
        <v>20</v>
      </c>
      <c r="O10" s="14">
        <v>46047</v>
      </c>
      <c r="P10">
        <v>2.73</v>
      </c>
      <c r="Q10">
        <v>32932.062100000003</v>
      </c>
      <c r="R10">
        <v>1185554.2348</v>
      </c>
      <c r="S10">
        <v>235554.23480000001</v>
      </c>
      <c r="T10" s="13" t="s">
        <v>93</v>
      </c>
      <c r="U10" s="13" t="s">
        <v>94</v>
      </c>
      <c r="V10">
        <v>1</v>
      </c>
    </row>
    <row r="11" spans="1:22" x14ac:dyDescent="0.3">
      <c r="A11" s="13" t="s">
        <v>45</v>
      </c>
      <c r="B11" s="13" t="s">
        <v>46</v>
      </c>
      <c r="C11" s="13" t="s">
        <v>23</v>
      </c>
      <c r="D11">
        <v>26</v>
      </c>
      <c r="E11" s="13" t="s">
        <v>35</v>
      </c>
      <c r="F11" s="13" t="s">
        <v>31</v>
      </c>
      <c r="G11">
        <v>200000</v>
      </c>
      <c r="H11">
        <v>0.22</v>
      </c>
      <c r="I11">
        <v>18</v>
      </c>
      <c r="J11">
        <v>45000</v>
      </c>
      <c r="K11">
        <v>575</v>
      </c>
      <c r="L11">
        <v>40000</v>
      </c>
      <c r="M11">
        <v>160000</v>
      </c>
      <c r="N11" s="13" t="s">
        <v>47</v>
      </c>
      <c r="O11" s="14">
        <v>46050</v>
      </c>
      <c r="P11">
        <v>3.42</v>
      </c>
      <c r="Q11">
        <v>13145.7304</v>
      </c>
      <c r="R11">
        <v>236623.14790000001</v>
      </c>
      <c r="S11">
        <v>36623.147900000004</v>
      </c>
      <c r="T11" s="13" t="s">
        <v>95</v>
      </c>
      <c r="U11" s="13" t="s">
        <v>98</v>
      </c>
      <c r="V11">
        <v>3</v>
      </c>
    </row>
    <row r="12" spans="1:22" x14ac:dyDescent="0.3">
      <c r="A12" s="13" t="s">
        <v>48</v>
      </c>
      <c r="B12" s="13" t="s">
        <v>49</v>
      </c>
      <c r="C12" s="13" t="s">
        <v>17</v>
      </c>
      <c r="D12">
        <v>36</v>
      </c>
      <c r="E12" s="13" t="s">
        <v>50</v>
      </c>
      <c r="F12" s="13" t="s">
        <v>25</v>
      </c>
      <c r="G12">
        <v>600000</v>
      </c>
      <c r="H12">
        <v>0.17</v>
      </c>
      <c r="I12">
        <v>30</v>
      </c>
      <c r="J12">
        <v>80000</v>
      </c>
      <c r="K12">
        <v>690</v>
      </c>
      <c r="L12">
        <v>300000</v>
      </c>
      <c r="M12">
        <v>300000</v>
      </c>
      <c r="N12" s="13" t="s">
        <v>20</v>
      </c>
      <c r="O12" s="14">
        <v>46055</v>
      </c>
      <c r="P12">
        <v>3.24</v>
      </c>
      <c r="Q12">
        <v>24689.3802</v>
      </c>
      <c r="R12">
        <v>740681.40509999997</v>
      </c>
      <c r="S12">
        <v>140681.4051</v>
      </c>
      <c r="T12" s="13" t="s">
        <v>93</v>
      </c>
      <c r="U12" s="13" t="s">
        <v>96</v>
      </c>
      <c r="V12">
        <v>1</v>
      </c>
    </row>
    <row r="13" spans="1:22" x14ac:dyDescent="0.3">
      <c r="A13" s="13" t="s">
        <v>51</v>
      </c>
      <c r="B13" s="13" t="s">
        <v>52</v>
      </c>
      <c r="C13" s="13" t="s">
        <v>23</v>
      </c>
      <c r="D13">
        <v>41</v>
      </c>
      <c r="E13" s="13" t="s">
        <v>28</v>
      </c>
      <c r="F13" s="13" t="s">
        <v>19</v>
      </c>
      <c r="G13">
        <v>1100000</v>
      </c>
      <c r="H13">
        <v>0.15</v>
      </c>
      <c r="I13">
        <v>48</v>
      </c>
      <c r="J13">
        <v>115000</v>
      </c>
      <c r="K13">
        <v>725</v>
      </c>
      <c r="L13">
        <v>275000</v>
      </c>
      <c r="M13">
        <v>825000</v>
      </c>
      <c r="N13" s="13" t="s">
        <v>20</v>
      </c>
      <c r="O13" s="14">
        <v>46058</v>
      </c>
      <c r="P13">
        <v>3.76</v>
      </c>
      <c r="Q13">
        <v>30613.823100000001</v>
      </c>
      <c r="R13">
        <v>1469463.5085</v>
      </c>
      <c r="S13">
        <v>369463.5085</v>
      </c>
      <c r="T13" s="13" t="s">
        <v>97</v>
      </c>
      <c r="U13" s="13" t="s">
        <v>94</v>
      </c>
      <c r="V13">
        <v>1</v>
      </c>
    </row>
    <row r="14" spans="1:22" x14ac:dyDescent="0.3">
      <c r="A14" s="13" t="s">
        <v>53</v>
      </c>
      <c r="B14" s="13" t="s">
        <v>54</v>
      </c>
      <c r="C14" s="13" t="s">
        <v>17</v>
      </c>
      <c r="D14">
        <v>30</v>
      </c>
      <c r="E14" s="13" t="s">
        <v>18</v>
      </c>
      <c r="F14" s="13" t="s">
        <v>31</v>
      </c>
      <c r="G14">
        <v>175000</v>
      </c>
      <c r="H14">
        <v>0.2</v>
      </c>
      <c r="I14">
        <v>18</v>
      </c>
      <c r="J14">
        <v>38000</v>
      </c>
      <c r="K14">
        <v>600</v>
      </c>
      <c r="L14">
        <v>87500</v>
      </c>
      <c r="M14">
        <v>87500</v>
      </c>
      <c r="N14" s="13" t="s">
        <v>32</v>
      </c>
      <c r="O14" s="14">
        <v>46061</v>
      </c>
      <c r="P14">
        <v>3.35</v>
      </c>
      <c r="Q14">
        <v>11333.560100000001</v>
      </c>
      <c r="R14">
        <v>204004.08189999999</v>
      </c>
      <c r="S14">
        <v>29004.081900000001</v>
      </c>
      <c r="T14" s="13" t="s">
        <v>93</v>
      </c>
      <c r="U14" s="13" t="s">
        <v>98</v>
      </c>
      <c r="V14">
        <v>2</v>
      </c>
    </row>
    <row r="15" spans="1:22" x14ac:dyDescent="0.3">
      <c r="A15" s="13" t="s">
        <v>55</v>
      </c>
      <c r="B15" s="13" t="s">
        <v>56</v>
      </c>
      <c r="C15" s="13" t="s">
        <v>23</v>
      </c>
      <c r="D15">
        <v>35</v>
      </c>
      <c r="E15" s="13" t="s">
        <v>24</v>
      </c>
      <c r="F15" s="13" t="s">
        <v>25</v>
      </c>
      <c r="G15">
        <v>450000</v>
      </c>
      <c r="H15">
        <v>0.18</v>
      </c>
      <c r="I15">
        <v>24</v>
      </c>
      <c r="J15">
        <v>68000</v>
      </c>
      <c r="K15">
        <v>675</v>
      </c>
      <c r="L15">
        <v>225000</v>
      </c>
      <c r="M15">
        <v>225000</v>
      </c>
      <c r="N15" s="13" t="s">
        <v>20</v>
      </c>
      <c r="O15" s="14">
        <v>46063</v>
      </c>
      <c r="P15">
        <v>3.03</v>
      </c>
      <c r="Q15">
        <v>22465.8459</v>
      </c>
      <c r="R15">
        <v>539180.30130000005</v>
      </c>
      <c r="S15">
        <v>89180.301300000006</v>
      </c>
      <c r="T15" s="13" t="s">
        <v>93</v>
      </c>
      <c r="U15" s="13" t="s">
        <v>96</v>
      </c>
      <c r="V15">
        <v>1</v>
      </c>
    </row>
    <row r="16" spans="1:22" x14ac:dyDescent="0.3">
      <c r="A16" s="13" t="s">
        <v>57</v>
      </c>
      <c r="B16" s="13" t="s">
        <v>58</v>
      </c>
      <c r="C16" s="13" t="s">
        <v>17</v>
      </c>
      <c r="D16">
        <v>44</v>
      </c>
      <c r="E16" s="13" t="s">
        <v>44</v>
      </c>
      <c r="F16" s="13" t="s">
        <v>19</v>
      </c>
      <c r="G16">
        <v>1350000</v>
      </c>
      <c r="H16">
        <v>0.14000000000000001</v>
      </c>
      <c r="I16">
        <v>48</v>
      </c>
      <c r="J16">
        <v>140000</v>
      </c>
      <c r="K16">
        <v>740</v>
      </c>
      <c r="L16">
        <v>337500</v>
      </c>
      <c r="M16">
        <v>1012500</v>
      </c>
      <c r="N16" s="13" t="s">
        <v>20</v>
      </c>
      <c r="O16" s="14">
        <v>46066</v>
      </c>
      <c r="P16">
        <v>3.79</v>
      </c>
      <c r="Q16">
        <v>36890.743300000002</v>
      </c>
      <c r="R16">
        <v>1770755.6769000001</v>
      </c>
      <c r="S16">
        <v>420755.67690000002</v>
      </c>
      <c r="T16" s="13" t="s">
        <v>97</v>
      </c>
      <c r="U16" s="13" t="s">
        <v>94</v>
      </c>
      <c r="V16">
        <v>1</v>
      </c>
    </row>
    <row r="17" spans="1:22" x14ac:dyDescent="0.3">
      <c r="A17" s="13" t="s">
        <v>59</v>
      </c>
      <c r="B17" s="13" t="s">
        <v>60</v>
      </c>
      <c r="C17" s="13" t="s">
        <v>23</v>
      </c>
      <c r="D17">
        <v>32</v>
      </c>
      <c r="E17" s="13" t="s">
        <v>18</v>
      </c>
      <c r="F17" s="13" t="s">
        <v>25</v>
      </c>
      <c r="G17">
        <v>380000</v>
      </c>
      <c r="H17">
        <v>0.19</v>
      </c>
      <c r="I17">
        <v>24</v>
      </c>
      <c r="J17">
        <v>55000</v>
      </c>
      <c r="K17">
        <v>650</v>
      </c>
      <c r="L17">
        <v>190000</v>
      </c>
      <c r="M17">
        <v>190000</v>
      </c>
      <c r="N17" s="13" t="s">
        <v>20</v>
      </c>
      <c r="O17" s="14">
        <v>46069</v>
      </c>
      <c r="P17">
        <v>2.87</v>
      </c>
      <c r="Q17">
        <v>19155.2745</v>
      </c>
      <c r="R17">
        <v>459726.58889999997</v>
      </c>
      <c r="S17">
        <v>79726.588900000002</v>
      </c>
      <c r="T17" s="13" t="s">
        <v>93</v>
      </c>
      <c r="U17" s="13" t="s">
        <v>96</v>
      </c>
      <c r="V17">
        <v>1</v>
      </c>
    </row>
    <row r="18" spans="1:22" x14ac:dyDescent="0.3">
      <c r="A18" s="13" t="s">
        <v>61</v>
      </c>
      <c r="B18" s="13" t="s">
        <v>62</v>
      </c>
      <c r="C18" s="13" t="s">
        <v>17</v>
      </c>
      <c r="D18">
        <v>47</v>
      </c>
      <c r="E18" s="13" t="s">
        <v>28</v>
      </c>
      <c r="F18" s="13" t="s">
        <v>19</v>
      </c>
      <c r="G18">
        <v>1000000</v>
      </c>
      <c r="H18">
        <v>0.16</v>
      </c>
      <c r="I18">
        <v>36</v>
      </c>
      <c r="J18">
        <v>95000</v>
      </c>
      <c r="K18">
        <v>680</v>
      </c>
      <c r="L18">
        <v>250000</v>
      </c>
      <c r="M18">
        <v>750000</v>
      </c>
      <c r="N18" s="13" t="s">
        <v>32</v>
      </c>
      <c r="O18" s="14">
        <v>46072</v>
      </c>
      <c r="P18">
        <v>2.7</v>
      </c>
      <c r="Q18">
        <v>35157.033000000003</v>
      </c>
      <c r="R18">
        <v>1265653.1893</v>
      </c>
      <c r="S18">
        <v>265653.18930000003</v>
      </c>
      <c r="T18" s="13" t="s">
        <v>97</v>
      </c>
      <c r="U18" s="13" t="s">
        <v>96</v>
      </c>
      <c r="V18">
        <v>2</v>
      </c>
    </row>
    <row r="19" spans="1:22" x14ac:dyDescent="0.3">
      <c r="A19" s="13" t="s">
        <v>63</v>
      </c>
      <c r="B19" s="13" t="s">
        <v>64</v>
      </c>
      <c r="C19" s="13" t="s">
        <v>23</v>
      </c>
      <c r="D19">
        <v>27</v>
      </c>
      <c r="E19" s="13" t="s">
        <v>35</v>
      </c>
      <c r="F19" s="13" t="s">
        <v>31</v>
      </c>
      <c r="G19">
        <v>160000</v>
      </c>
      <c r="H19">
        <v>0.21</v>
      </c>
      <c r="I19">
        <v>18</v>
      </c>
      <c r="J19">
        <v>40000</v>
      </c>
      <c r="K19">
        <v>585</v>
      </c>
      <c r="L19">
        <v>80000</v>
      </c>
      <c r="M19">
        <v>80000</v>
      </c>
      <c r="N19" s="13" t="s">
        <v>20</v>
      </c>
      <c r="O19" s="14">
        <v>46075</v>
      </c>
      <c r="P19">
        <v>3.83</v>
      </c>
      <c r="Q19">
        <v>10439.187900000001</v>
      </c>
      <c r="R19">
        <v>187905.3824</v>
      </c>
      <c r="S19">
        <v>27905.382399999999</v>
      </c>
      <c r="T19" s="13" t="s">
        <v>95</v>
      </c>
      <c r="U19" s="13" t="s">
        <v>98</v>
      </c>
      <c r="V19">
        <v>1</v>
      </c>
    </row>
    <row r="20" spans="1:22" x14ac:dyDescent="0.3">
      <c r="A20" s="13" t="s">
        <v>65</v>
      </c>
      <c r="B20" s="13" t="s">
        <v>66</v>
      </c>
      <c r="C20" s="13" t="s">
        <v>17</v>
      </c>
      <c r="D20">
        <v>38</v>
      </c>
      <c r="E20" s="13" t="s">
        <v>24</v>
      </c>
      <c r="F20" s="13" t="s">
        <v>25</v>
      </c>
      <c r="G20">
        <v>550000</v>
      </c>
      <c r="H20">
        <v>0.17</v>
      </c>
      <c r="I20">
        <v>30</v>
      </c>
      <c r="J20">
        <v>85000</v>
      </c>
      <c r="K20">
        <v>700</v>
      </c>
      <c r="L20">
        <v>275000</v>
      </c>
      <c r="M20">
        <v>275000</v>
      </c>
      <c r="N20" s="13" t="s">
        <v>20</v>
      </c>
      <c r="O20" s="14">
        <v>46078</v>
      </c>
      <c r="P20">
        <v>3.76</v>
      </c>
      <c r="Q20">
        <v>22631.931799999998</v>
      </c>
      <c r="R20">
        <v>678957.9547</v>
      </c>
      <c r="S20">
        <v>128957.9547</v>
      </c>
      <c r="T20" s="13" t="s">
        <v>93</v>
      </c>
      <c r="U20" s="13" t="s">
        <v>94</v>
      </c>
      <c r="V20">
        <v>1</v>
      </c>
    </row>
    <row r="21" spans="1:22" x14ac:dyDescent="0.3">
      <c r="A21" s="13" t="s">
        <v>67</v>
      </c>
      <c r="B21" s="13" t="s">
        <v>68</v>
      </c>
      <c r="C21" s="13" t="s">
        <v>23</v>
      </c>
      <c r="D21">
        <v>43</v>
      </c>
      <c r="E21" s="13" t="s">
        <v>18</v>
      </c>
      <c r="F21" s="13" t="s">
        <v>19</v>
      </c>
      <c r="G21">
        <v>1250000</v>
      </c>
      <c r="H21">
        <v>0.15</v>
      </c>
      <c r="I21">
        <v>48</v>
      </c>
      <c r="J21">
        <v>130000</v>
      </c>
      <c r="K21">
        <v>715</v>
      </c>
      <c r="L21">
        <v>312500</v>
      </c>
      <c r="M21">
        <v>937500</v>
      </c>
      <c r="N21" s="13" t="s">
        <v>20</v>
      </c>
      <c r="O21" s="14">
        <v>46081</v>
      </c>
      <c r="P21">
        <v>3.74</v>
      </c>
      <c r="Q21">
        <v>34788.435299999997</v>
      </c>
      <c r="R21">
        <v>1669844.8959999999</v>
      </c>
      <c r="S21">
        <v>419844.89600000001</v>
      </c>
      <c r="T21" s="13" t="s">
        <v>97</v>
      </c>
      <c r="U21" s="13" t="s">
        <v>94</v>
      </c>
      <c r="V21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3A2D0-FD17-4A89-B0F9-7C700D75BB2D}">
  <dimension ref="A2:U65"/>
  <sheetViews>
    <sheetView topLeftCell="A33" workbookViewId="0">
      <selection activeCell="P15" sqref="P15"/>
    </sheetView>
  </sheetViews>
  <sheetFormatPr defaultRowHeight="14.4" x14ac:dyDescent="0.3"/>
  <cols>
    <col min="1" max="1" width="11.6640625" style="20" bestFit="1" customWidth="1"/>
    <col min="2" max="2" width="17.33203125" style="20" bestFit="1" customWidth="1"/>
    <col min="3" max="3" width="8.88671875" style="20" customWidth="1"/>
    <col min="4" max="4" width="10.109375" style="20" bestFit="1" customWidth="1"/>
    <col min="5" max="5" width="9.21875" style="20" bestFit="1" customWidth="1"/>
    <col min="6" max="6" width="10.109375" style="20" bestFit="1" customWidth="1"/>
    <col min="7" max="7" width="13.5546875" style="20" customWidth="1"/>
    <col min="8" max="8" width="9.44140625" style="20" bestFit="1" customWidth="1"/>
    <col min="9" max="9" width="10.109375" style="20" bestFit="1" customWidth="1"/>
    <col min="10" max="10" width="12.21875" style="20" bestFit="1" customWidth="1"/>
    <col min="11" max="11" width="17.88671875" style="20" bestFit="1" customWidth="1"/>
    <col min="12" max="12" width="14.21875" style="20" customWidth="1"/>
    <col min="13" max="13" width="10.109375" style="20" bestFit="1" customWidth="1"/>
    <col min="14" max="14" width="9.21875" style="20" bestFit="1" customWidth="1"/>
    <col min="15" max="15" width="10.109375" style="20" bestFit="1" customWidth="1"/>
    <col min="16" max="16" width="8.6640625" style="20" bestFit="1" customWidth="1"/>
    <col min="17" max="17" width="9.44140625" style="20" bestFit="1" customWidth="1"/>
    <col min="18" max="18" width="10.109375" style="20" bestFit="1" customWidth="1"/>
    <col min="19" max="19" width="12.21875" style="20" bestFit="1" customWidth="1"/>
    <col min="20" max="20" width="21.88671875" style="20" bestFit="1" customWidth="1"/>
    <col min="21" max="21" width="22.44140625" style="20" bestFit="1" customWidth="1"/>
    <col min="22" max="16384" width="8.88671875" style="20"/>
  </cols>
  <sheetData>
    <row r="2" spans="1:13" ht="18" x14ac:dyDescent="0.35">
      <c r="B2" s="18" t="s">
        <v>110</v>
      </c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3" x14ac:dyDescent="0.3">
      <c r="B3" s="21" t="s">
        <v>103</v>
      </c>
    </row>
    <row r="4" spans="1:13" x14ac:dyDescent="0.3">
      <c r="B4" s="20" t="s">
        <v>102</v>
      </c>
      <c r="E4" s="20" t="s">
        <v>100</v>
      </c>
      <c r="H4" s="20" t="s">
        <v>101</v>
      </c>
      <c r="K4" s="20" t="s">
        <v>104</v>
      </c>
      <c r="L4" s="20" t="s">
        <v>106</v>
      </c>
      <c r="M4" s="20" t="s">
        <v>105</v>
      </c>
    </row>
    <row r="5" spans="1:13" x14ac:dyDescent="0.3">
      <c r="A5" s="21" t="s">
        <v>107</v>
      </c>
      <c r="B5" s="20" t="s">
        <v>32</v>
      </c>
      <c r="C5" s="20" t="s">
        <v>47</v>
      </c>
      <c r="D5" s="20" t="s">
        <v>20</v>
      </c>
      <c r="E5" s="20" t="s">
        <v>32</v>
      </c>
      <c r="F5" s="20" t="s">
        <v>47</v>
      </c>
      <c r="G5" s="20" t="s">
        <v>20</v>
      </c>
      <c r="H5" s="20" t="s">
        <v>32</v>
      </c>
      <c r="I5" s="20" t="s">
        <v>47</v>
      </c>
      <c r="J5" s="20" t="s">
        <v>20</v>
      </c>
    </row>
    <row r="6" spans="1:13" x14ac:dyDescent="0.3">
      <c r="A6" s="22" t="s">
        <v>98</v>
      </c>
      <c r="B6" s="23">
        <v>3</v>
      </c>
      <c r="C6" s="23">
        <v>1</v>
      </c>
      <c r="D6" s="23">
        <v>1</v>
      </c>
      <c r="E6" s="23">
        <v>505000</v>
      </c>
      <c r="F6" s="23">
        <v>200000</v>
      </c>
      <c r="G6" s="23">
        <v>160000</v>
      </c>
      <c r="H6" s="23">
        <v>307500</v>
      </c>
      <c r="I6" s="23">
        <v>160000</v>
      </c>
      <c r="J6" s="23">
        <v>80000</v>
      </c>
      <c r="K6" s="23">
        <v>5</v>
      </c>
      <c r="L6" s="23">
        <v>865000</v>
      </c>
      <c r="M6" s="23">
        <v>547500</v>
      </c>
    </row>
    <row r="7" spans="1:13" x14ac:dyDescent="0.3">
      <c r="A7" s="22" t="s">
        <v>94</v>
      </c>
      <c r="B7" s="23"/>
      <c r="C7" s="23"/>
      <c r="D7" s="23">
        <v>8</v>
      </c>
      <c r="E7" s="23"/>
      <c r="F7" s="23"/>
      <c r="G7" s="23">
        <v>8750000</v>
      </c>
      <c r="H7" s="23"/>
      <c r="I7" s="23"/>
      <c r="J7" s="23">
        <v>5975000</v>
      </c>
      <c r="K7" s="23">
        <v>8</v>
      </c>
      <c r="L7" s="23">
        <v>8750000</v>
      </c>
      <c r="M7" s="23">
        <v>5975000</v>
      </c>
    </row>
    <row r="8" spans="1:13" x14ac:dyDescent="0.3">
      <c r="A8" s="22" t="s">
        <v>96</v>
      </c>
      <c r="B8" s="23">
        <v>1</v>
      </c>
      <c r="C8" s="23"/>
      <c r="D8" s="23">
        <v>6</v>
      </c>
      <c r="E8" s="23">
        <v>1000000</v>
      </c>
      <c r="F8" s="23"/>
      <c r="G8" s="23">
        <v>2700000</v>
      </c>
      <c r="H8" s="23">
        <v>750000</v>
      </c>
      <c r="I8" s="23"/>
      <c r="J8" s="23">
        <v>1245000</v>
      </c>
      <c r="K8" s="23">
        <v>7</v>
      </c>
      <c r="L8" s="23">
        <v>3700000</v>
      </c>
      <c r="M8" s="23">
        <v>1995000</v>
      </c>
    </row>
    <row r="9" spans="1:13" x14ac:dyDescent="0.3">
      <c r="A9" s="22" t="s">
        <v>99</v>
      </c>
      <c r="B9" s="23">
        <v>4</v>
      </c>
      <c r="C9" s="23">
        <v>1</v>
      </c>
      <c r="D9" s="23">
        <v>15</v>
      </c>
      <c r="E9" s="23">
        <v>1505000</v>
      </c>
      <c r="F9" s="23">
        <v>200000</v>
      </c>
      <c r="G9" s="23">
        <v>11610000</v>
      </c>
      <c r="H9" s="23">
        <v>1057500</v>
      </c>
      <c r="I9" s="23">
        <v>160000</v>
      </c>
      <c r="J9" s="23">
        <v>7300000</v>
      </c>
      <c r="K9" s="23">
        <v>20</v>
      </c>
      <c r="L9" s="23">
        <v>13315000</v>
      </c>
      <c r="M9" s="23">
        <v>8517500</v>
      </c>
    </row>
    <row r="11" spans="1:13" x14ac:dyDescent="0.3">
      <c r="A11" s="24" t="s">
        <v>108</v>
      </c>
      <c r="B11" s="16"/>
      <c r="C11" s="17" t="s">
        <v>109</v>
      </c>
      <c r="D11" s="17"/>
      <c r="E11" s="17"/>
      <c r="F11" s="17"/>
      <c r="G11" s="17"/>
      <c r="H11" s="17"/>
      <c r="I11" s="17"/>
      <c r="J11" s="16"/>
      <c r="K11" s="15"/>
      <c r="L11" s="15"/>
      <c r="M11" s="15"/>
    </row>
    <row r="13" spans="1:13" ht="18" x14ac:dyDescent="0.35">
      <c r="B13" s="18" t="s">
        <v>111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</row>
    <row r="14" spans="1:13" x14ac:dyDescent="0.3">
      <c r="B14" s="21" t="s">
        <v>103</v>
      </c>
    </row>
    <row r="15" spans="1:13" x14ac:dyDescent="0.3">
      <c r="B15" s="20" t="s">
        <v>32</v>
      </c>
      <c r="E15" s="20" t="s">
        <v>47</v>
      </c>
      <c r="H15" s="20" t="s">
        <v>20</v>
      </c>
      <c r="K15" s="20" t="s">
        <v>105</v>
      </c>
      <c r="L15" s="20" t="s">
        <v>104</v>
      </c>
      <c r="M15" s="20" t="s">
        <v>106</v>
      </c>
    </row>
    <row r="16" spans="1:13" x14ac:dyDescent="0.3">
      <c r="A16" s="21" t="s">
        <v>4</v>
      </c>
      <c r="B16" s="20" t="s">
        <v>101</v>
      </c>
      <c r="C16" s="20" t="s">
        <v>102</v>
      </c>
      <c r="D16" s="20" t="s">
        <v>100</v>
      </c>
      <c r="E16" s="20" t="s">
        <v>101</v>
      </c>
      <c r="F16" s="20" t="s">
        <v>102</v>
      </c>
      <c r="G16" s="20" t="s">
        <v>100</v>
      </c>
      <c r="H16" s="20" t="s">
        <v>101</v>
      </c>
      <c r="I16" s="20" t="s">
        <v>102</v>
      </c>
      <c r="J16" s="20" t="s">
        <v>100</v>
      </c>
    </row>
    <row r="17" spans="1:13" x14ac:dyDescent="0.3">
      <c r="A17" s="22" t="s">
        <v>24</v>
      </c>
      <c r="B17" s="23"/>
      <c r="C17" s="23"/>
      <c r="D17" s="23"/>
      <c r="E17" s="23"/>
      <c r="F17" s="23"/>
      <c r="G17" s="23"/>
      <c r="H17" s="23">
        <v>1800000</v>
      </c>
      <c r="I17" s="23">
        <v>4</v>
      </c>
      <c r="J17" s="23">
        <v>2850000</v>
      </c>
      <c r="K17" s="23">
        <v>1800000</v>
      </c>
      <c r="L17" s="23">
        <v>4</v>
      </c>
      <c r="M17" s="23">
        <v>2850000</v>
      </c>
    </row>
    <row r="18" spans="1:13" x14ac:dyDescent="0.3">
      <c r="A18" s="22" t="s">
        <v>28</v>
      </c>
      <c r="B18" s="23">
        <v>850000</v>
      </c>
      <c r="C18" s="23">
        <v>2</v>
      </c>
      <c r="D18" s="23">
        <v>1150000</v>
      </c>
      <c r="E18" s="23"/>
      <c r="F18" s="23"/>
      <c r="G18" s="23"/>
      <c r="H18" s="23">
        <v>1725000</v>
      </c>
      <c r="I18" s="23">
        <v>2</v>
      </c>
      <c r="J18" s="23">
        <v>2300000</v>
      </c>
      <c r="K18" s="23">
        <v>2575000</v>
      </c>
      <c r="L18" s="23">
        <v>4</v>
      </c>
      <c r="M18" s="23">
        <v>3450000</v>
      </c>
    </row>
    <row r="19" spans="1:13" x14ac:dyDescent="0.3">
      <c r="A19" s="22" t="s">
        <v>50</v>
      </c>
      <c r="B19" s="23"/>
      <c r="C19" s="23"/>
      <c r="D19" s="23"/>
      <c r="E19" s="23"/>
      <c r="F19" s="23"/>
      <c r="G19" s="23"/>
      <c r="H19" s="23">
        <v>300000</v>
      </c>
      <c r="I19" s="23">
        <v>1</v>
      </c>
      <c r="J19" s="23">
        <v>600000</v>
      </c>
      <c r="K19" s="23">
        <v>300000</v>
      </c>
      <c r="L19" s="23">
        <v>1</v>
      </c>
      <c r="M19" s="23">
        <v>600000</v>
      </c>
    </row>
    <row r="20" spans="1:13" x14ac:dyDescent="0.3">
      <c r="A20" s="22" t="s">
        <v>18</v>
      </c>
      <c r="B20" s="23">
        <v>207500</v>
      </c>
      <c r="C20" s="23">
        <v>2</v>
      </c>
      <c r="D20" s="23">
        <v>355000</v>
      </c>
      <c r="E20" s="23"/>
      <c r="F20" s="23"/>
      <c r="G20" s="23"/>
      <c r="H20" s="23">
        <v>1657500</v>
      </c>
      <c r="I20" s="23">
        <v>4</v>
      </c>
      <c r="J20" s="23">
        <v>2900000</v>
      </c>
      <c r="K20" s="23">
        <v>1865000</v>
      </c>
      <c r="L20" s="23">
        <v>6</v>
      </c>
      <c r="M20" s="23">
        <v>3255000</v>
      </c>
    </row>
    <row r="21" spans="1:13" x14ac:dyDescent="0.3">
      <c r="A21" s="22" t="s">
        <v>35</v>
      </c>
      <c r="B21" s="23"/>
      <c r="C21" s="23"/>
      <c r="D21" s="23"/>
      <c r="E21" s="23">
        <v>160000</v>
      </c>
      <c r="F21" s="23">
        <v>1</v>
      </c>
      <c r="G21" s="23">
        <v>200000</v>
      </c>
      <c r="H21" s="23">
        <v>330000</v>
      </c>
      <c r="I21" s="23">
        <v>2</v>
      </c>
      <c r="J21" s="23">
        <v>660000</v>
      </c>
      <c r="K21" s="23">
        <v>490000</v>
      </c>
      <c r="L21" s="23">
        <v>3</v>
      </c>
      <c r="M21" s="23">
        <v>860000</v>
      </c>
    </row>
    <row r="22" spans="1:13" x14ac:dyDescent="0.3">
      <c r="A22" s="22" t="s">
        <v>44</v>
      </c>
      <c r="B22" s="23"/>
      <c r="C22" s="23"/>
      <c r="D22" s="23"/>
      <c r="E22" s="23"/>
      <c r="F22" s="23"/>
      <c r="G22" s="23"/>
      <c r="H22" s="23">
        <v>1487500</v>
      </c>
      <c r="I22" s="23">
        <v>2</v>
      </c>
      <c r="J22" s="23">
        <v>2300000</v>
      </c>
      <c r="K22" s="23">
        <v>1487500</v>
      </c>
      <c r="L22" s="23">
        <v>2</v>
      </c>
      <c r="M22" s="23">
        <v>2300000</v>
      </c>
    </row>
    <row r="23" spans="1:13" x14ac:dyDescent="0.3">
      <c r="A23" s="22" t="s">
        <v>99</v>
      </c>
      <c r="B23" s="23">
        <v>1057500</v>
      </c>
      <c r="C23" s="23">
        <v>4</v>
      </c>
      <c r="D23" s="23">
        <v>1505000</v>
      </c>
      <c r="E23" s="23">
        <v>160000</v>
      </c>
      <c r="F23" s="23">
        <v>1</v>
      </c>
      <c r="G23" s="23">
        <v>200000</v>
      </c>
      <c r="H23" s="23">
        <v>7300000</v>
      </c>
      <c r="I23" s="23">
        <v>15</v>
      </c>
      <c r="J23" s="23">
        <v>11610000</v>
      </c>
      <c r="K23" s="23">
        <v>8517500</v>
      </c>
      <c r="L23" s="23">
        <v>20</v>
      </c>
      <c r="M23" s="23">
        <v>13315000</v>
      </c>
    </row>
    <row r="25" spans="1:13" x14ac:dyDescent="0.3">
      <c r="A25" s="19" t="s">
        <v>108</v>
      </c>
      <c r="B25" s="19"/>
      <c r="C25" s="19" t="s">
        <v>112</v>
      </c>
      <c r="D25" s="19"/>
      <c r="E25" s="19"/>
      <c r="F25" s="19"/>
      <c r="G25" s="19"/>
      <c r="H25" s="19"/>
    </row>
    <row r="27" spans="1:13" ht="18" x14ac:dyDescent="0.35">
      <c r="B27" s="18" t="s">
        <v>117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</row>
    <row r="28" spans="1:13" x14ac:dyDescent="0.3">
      <c r="B28" s="21" t="s">
        <v>103</v>
      </c>
    </row>
    <row r="29" spans="1:13" x14ac:dyDescent="0.3">
      <c r="B29" s="20" t="s">
        <v>101</v>
      </c>
      <c r="E29" s="20" t="s">
        <v>100</v>
      </c>
      <c r="H29" s="20" t="s">
        <v>114</v>
      </c>
      <c r="K29" s="20" t="s">
        <v>105</v>
      </c>
      <c r="L29" s="20" t="s">
        <v>106</v>
      </c>
      <c r="M29" s="20" t="s">
        <v>113</v>
      </c>
    </row>
    <row r="30" spans="1:13" x14ac:dyDescent="0.3">
      <c r="A30" s="21" t="s">
        <v>4</v>
      </c>
      <c r="B30" s="20" t="s">
        <v>32</v>
      </c>
      <c r="C30" s="20" t="s">
        <v>47</v>
      </c>
      <c r="D30" s="20" t="s">
        <v>20</v>
      </c>
      <c r="E30" s="20" t="s">
        <v>32</v>
      </c>
      <c r="F30" s="20" t="s">
        <v>47</v>
      </c>
      <c r="G30" s="20" t="s">
        <v>20</v>
      </c>
      <c r="H30" s="20" t="s">
        <v>32</v>
      </c>
      <c r="I30" s="20" t="s">
        <v>47</v>
      </c>
      <c r="J30" s="20" t="s">
        <v>20</v>
      </c>
    </row>
    <row r="31" spans="1:13" x14ac:dyDescent="0.3">
      <c r="A31" s="22" t="s">
        <v>19</v>
      </c>
      <c r="B31" s="23">
        <v>750000</v>
      </c>
      <c r="C31" s="23"/>
      <c r="D31" s="23">
        <v>5700000</v>
      </c>
      <c r="E31" s="23">
        <v>1000000</v>
      </c>
      <c r="F31" s="23"/>
      <c r="G31" s="23">
        <v>8200000</v>
      </c>
      <c r="H31" s="23">
        <v>0.16</v>
      </c>
      <c r="I31" s="23"/>
      <c r="J31" s="23">
        <v>0.14571428571428571</v>
      </c>
      <c r="K31" s="23">
        <v>6450000</v>
      </c>
      <c r="L31" s="23">
        <v>9200000</v>
      </c>
      <c r="M31" s="23">
        <v>0.14750000000000002</v>
      </c>
    </row>
    <row r="32" spans="1:13" x14ac:dyDescent="0.3">
      <c r="A32" s="22" t="s">
        <v>31</v>
      </c>
      <c r="B32" s="23">
        <v>307500</v>
      </c>
      <c r="C32" s="23">
        <v>160000</v>
      </c>
      <c r="D32" s="23">
        <v>80000</v>
      </c>
      <c r="E32" s="23">
        <v>505000</v>
      </c>
      <c r="F32" s="23">
        <v>200000</v>
      </c>
      <c r="G32" s="23">
        <v>160000</v>
      </c>
      <c r="H32" s="23">
        <v>0.20333333333333337</v>
      </c>
      <c r="I32" s="23">
        <v>0.22</v>
      </c>
      <c r="J32" s="23">
        <v>0.21</v>
      </c>
      <c r="K32" s="23">
        <v>547500</v>
      </c>
      <c r="L32" s="23">
        <v>865000</v>
      </c>
      <c r="M32" s="23">
        <v>0.20800000000000002</v>
      </c>
    </row>
    <row r="33" spans="1:21" x14ac:dyDescent="0.3">
      <c r="A33" s="22" t="s">
        <v>25</v>
      </c>
      <c r="B33" s="23"/>
      <c r="C33" s="23"/>
      <c r="D33" s="23">
        <v>1520000</v>
      </c>
      <c r="E33" s="23"/>
      <c r="F33" s="23"/>
      <c r="G33" s="23">
        <v>3250000</v>
      </c>
      <c r="H33" s="23"/>
      <c r="I33" s="23"/>
      <c r="J33" s="23">
        <v>0.17714285714285713</v>
      </c>
      <c r="K33" s="23">
        <v>1520000</v>
      </c>
      <c r="L33" s="23">
        <v>3250000</v>
      </c>
      <c r="M33" s="23">
        <v>0.17714285714285713</v>
      </c>
    </row>
    <row r="34" spans="1:21" x14ac:dyDescent="0.3">
      <c r="A34" s="22" t="s">
        <v>99</v>
      </c>
      <c r="B34" s="23">
        <v>1057500</v>
      </c>
      <c r="C34" s="23">
        <v>160000</v>
      </c>
      <c r="D34" s="23">
        <v>7300000</v>
      </c>
      <c r="E34" s="23">
        <v>1505000</v>
      </c>
      <c r="F34" s="23">
        <v>200000</v>
      </c>
      <c r="G34" s="23">
        <v>11610000</v>
      </c>
      <c r="H34" s="23">
        <v>0.1925</v>
      </c>
      <c r="I34" s="23">
        <v>0.22</v>
      </c>
      <c r="J34" s="23">
        <v>0.16466666666666666</v>
      </c>
      <c r="K34" s="23">
        <v>8517500</v>
      </c>
      <c r="L34" s="23">
        <v>13315000</v>
      </c>
      <c r="M34" s="23">
        <v>0.17299999999999999</v>
      </c>
    </row>
    <row r="35" spans="1:21" x14ac:dyDescent="0.3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21" s="25" customFormat="1" ht="15.6" x14ac:dyDescent="0.3">
      <c r="A36" s="25" t="s">
        <v>115</v>
      </c>
      <c r="C36" s="25" t="s">
        <v>116</v>
      </c>
    </row>
    <row r="37" spans="1:21" s="25" customFormat="1" ht="15.6" x14ac:dyDescent="0.3">
      <c r="A37"/>
      <c r="B37"/>
    </row>
    <row r="38" spans="1:21" ht="18" x14ac:dyDescent="0.35">
      <c r="A38"/>
      <c r="B38" s="18" t="s">
        <v>122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/>
    </row>
    <row r="39" spans="1:21" x14ac:dyDescent="0.3">
      <c r="A39" s="26"/>
      <c r="B39" s="27" t="s">
        <v>103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/>
      <c r="O39"/>
      <c r="P39"/>
      <c r="Q39"/>
      <c r="R39"/>
      <c r="S39"/>
      <c r="T39"/>
      <c r="U39"/>
    </row>
    <row r="40" spans="1:21" x14ac:dyDescent="0.3">
      <c r="A40" s="26"/>
      <c r="B40" s="26" t="s">
        <v>101</v>
      </c>
      <c r="C40" s="26"/>
      <c r="D40" s="26"/>
      <c r="E40" s="26" t="s">
        <v>100</v>
      </c>
      <c r="F40" s="26"/>
      <c r="G40" s="26"/>
      <c r="H40" s="26" t="s">
        <v>119</v>
      </c>
      <c r="I40" s="26"/>
      <c r="J40" s="26"/>
      <c r="K40" s="26" t="s">
        <v>105</v>
      </c>
      <c r="L40" s="26" t="s">
        <v>106</v>
      </c>
      <c r="M40" s="26" t="s">
        <v>120</v>
      </c>
      <c r="N40"/>
      <c r="O40"/>
      <c r="P40"/>
      <c r="Q40"/>
      <c r="R40"/>
      <c r="S40"/>
      <c r="T40"/>
      <c r="U40"/>
    </row>
    <row r="41" spans="1:21" x14ac:dyDescent="0.3">
      <c r="A41" s="27" t="s">
        <v>118</v>
      </c>
      <c r="B41" s="26" t="s">
        <v>32</v>
      </c>
      <c r="C41" s="26" t="s">
        <v>47</v>
      </c>
      <c r="D41" s="26" t="s">
        <v>20</v>
      </c>
      <c r="E41" s="26" t="s">
        <v>32</v>
      </c>
      <c r="F41" s="26" t="s">
        <v>47</v>
      </c>
      <c r="G41" s="26" t="s">
        <v>20</v>
      </c>
      <c r="H41" s="26" t="s">
        <v>32</v>
      </c>
      <c r="I41" s="26" t="s">
        <v>47</v>
      </c>
      <c r="J41" s="26" t="s">
        <v>20</v>
      </c>
      <c r="K41" s="26"/>
      <c r="L41" s="26"/>
      <c r="M41" s="26"/>
      <c r="N41"/>
      <c r="O41"/>
      <c r="P41"/>
      <c r="Q41"/>
      <c r="R41"/>
      <c r="S41"/>
      <c r="T41"/>
      <c r="U41"/>
    </row>
    <row r="42" spans="1:21" x14ac:dyDescent="0.3">
      <c r="A42" s="28" t="s">
        <v>93</v>
      </c>
      <c r="B42" s="29">
        <v>0.19621749408983452</v>
      </c>
      <c r="C42" s="29">
        <v>0</v>
      </c>
      <c r="D42" s="29">
        <v>0.30753424657534245</v>
      </c>
      <c r="E42" s="30">
        <v>355000</v>
      </c>
      <c r="F42" s="30"/>
      <c r="G42" s="30">
        <v>4700000</v>
      </c>
      <c r="H42" s="30">
        <v>1210</v>
      </c>
      <c r="I42" s="30"/>
      <c r="J42" s="30">
        <v>5500</v>
      </c>
      <c r="K42" s="29">
        <v>0.28793660111535074</v>
      </c>
      <c r="L42" s="30">
        <v>5055000</v>
      </c>
      <c r="M42" s="30">
        <v>6710</v>
      </c>
      <c r="N42"/>
      <c r="O42"/>
      <c r="P42"/>
      <c r="Q42"/>
      <c r="R42"/>
      <c r="S42"/>
      <c r="T42"/>
      <c r="U42"/>
    </row>
    <row r="43" spans="1:21" x14ac:dyDescent="0.3">
      <c r="A43" s="31" t="s">
        <v>98</v>
      </c>
      <c r="B43" s="29">
        <v>0.19621749408983452</v>
      </c>
      <c r="C43" s="29">
        <v>0</v>
      </c>
      <c r="D43" s="29">
        <v>0</v>
      </c>
      <c r="E43" s="30">
        <v>355000</v>
      </c>
      <c r="F43" s="30"/>
      <c r="G43" s="30"/>
      <c r="H43" s="30">
        <v>1210</v>
      </c>
      <c r="I43" s="30"/>
      <c r="J43" s="30"/>
      <c r="K43" s="29">
        <v>2.4361608453184618E-2</v>
      </c>
      <c r="L43" s="30">
        <v>355000</v>
      </c>
      <c r="M43" s="30">
        <v>1210</v>
      </c>
      <c r="N43"/>
      <c r="O43"/>
      <c r="P43"/>
      <c r="Q43"/>
      <c r="R43"/>
      <c r="S43"/>
      <c r="T43"/>
      <c r="U43"/>
    </row>
    <row r="44" spans="1:21" x14ac:dyDescent="0.3">
      <c r="A44" s="32" t="s">
        <v>23</v>
      </c>
      <c r="B44" s="29">
        <v>0.11347517730496454</v>
      </c>
      <c r="C44" s="29">
        <v>0</v>
      </c>
      <c r="D44" s="29">
        <v>0</v>
      </c>
      <c r="E44" s="30">
        <v>180000</v>
      </c>
      <c r="F44" s="30"/>
      <c r="G44" s="30"/>
      <c r="H44" s="30">
        <v>610</v>
      </c>
      <c r="I44" s="30"/>
      <c r="J44" s="30"/>
      <c r="K44" s="29">
        <v>1.408864103316701E-2</v>
      </c>
      <c r="L44" s="30">
        <v>180000</v>
      </c>
      <c r="M44" s="30">
        <v>610</v>
      </c>
      <c r="N44"/>
      <c r="O44"/>
      <c r="P44"/>
      <c r="Q44"/>
      <c r="R44"/>
      <c r="S44"/>
      <c r="T44"/>
      <c r="U44"/>
    </row>
    <row r="45" spans="1:21" x14ac:dyDescent="0.3">
      <c r="A45" s="32" t="s">
        <v>17</v>
      </c>
      <c r="B45" s="29">
        <v>8.2742316784869971E-2</v>
      </c>
      <c r="C45" s="29">
        <v>0</v>
      </c>
      <c r="D45" s="29">
        <v>0</v>
      </c>
      <c r="E45" s="30">
        <v>175000</v>
      </c>
      <c r="F45" s="30"/>
      <c r="G45" s="30"/>
      <c r="H45" s="30">
        <v>600</v>
      </c>
      <c r="I45" s="30"/>
      <c r="J45" s="30"/>
      <c r="K45" s="29">
        <v>1.027296742001761E-2</v>
      </c>
      <c r="L45" s="30">
        <v>175000</v>
      </c>
      <c r="M45" s="30">
        <v>600</v>
      </c>
      <c r="N45"/>
      <c r="O45"/>
      <c r="P45"/>
      <c r="Q45"/>
      <c r="R45"/>
      <c r="S45"/>
      <c r="T45"/>
      <c r="U45"/>
    </row>
    <row r="46" spans="1:21" x14ac:dyDescent="0.3">
      <c r="A46" s="31" t="s">
        <v>94</v>
      </c>
      <c r="B46" s="29">
        <v>0</v>
      </c>
      <c r="C46" s="29">
        <v>0</v>
      </c>
      <c r="D46" s="29">
        <v>0.16095890410958905</v>
      </c>
      <c r="E46" s="30"/>
      <c r="F46" s="30"/>
      <c r="G46" s="30">
        <v>2350000</v>
      </c>
      <c r="H46" s="30"/>
      <c r="I46" s="30"/>
      <c r="J46" s="30">
        <v>2125</v>
      </c>
      <c r="K46" s="29">
        <v>0.13795127678309363</v>
      </c>
      <c r="L46" s="30">
        <v>2350000</v>
      </c>
      <c r="M46" s="30">
        <v>2125</v>
      </c>
      <c r="N46"/>
      <c r="O46"/>
      <c r="P46"/>
      <c r="Q46"/>
      <c r="R46"/>
      <c r="S46"/>
      <c r="T46"/>
      <c r="U46"/>
    </row>
    <row r="47" spans="1:21" x14ac:dyDescent="0.3">
      <c r="A47" s="32" t="s">
        <v>17</v>
      </c>
      <c r="B47" s="29">
        <v>0</v>
      </c>
      <c r="C47" s="29">
        <v>0</v>
      </c>
      <c r="D47" s="29">
        <v>0.16095890410958905</v>
      </c>
      <c r="E47" s="30"/>
      <c r="F47" s="30"/>
      <c r="G47" s="30">
        <v>2350000</v>
      </c>
      <c r="H47" s="30"/>
      <c r="I47" s="30"/>
      <c r="J47" s="30">
        <v>2125</v>
      </c>
      <c r="K47" s="29">
        <v>0.13795127678309363</v>
      </c>
      <c r="L47" s="30">
        <v>2350000</v>
      </c>
      <c r="M47" s="30">
        <v>2125</v>
      </c>
    </row>
    <row r="48" spans="1:21" x14ac:dyDescent="0.3">
      <c r="A48" s="31" t="s">
        <v>96</v>
      </c>
      <c r="B48" s="29">
        <v>0</v>
      </c>
      <c r="C48" s="29">
        <v>0</v>
      </c>
      <c r="D48" s="29">
        <v>0.14657534246575343</v>
      </c>
      <c r="E48" s="30"/>
      <c r="F48" s="30"/>
      <c r="G48" s="30">
        <v>2350000</v>
      </c>
      <c r="H48" s="30"/>
      <c r="I48" s="30"/>
      <c r="J48" s="30">
        <v>3375</v>
      </c>
      <c r="K48" s="29">
        <v>0.12562371587907251</v>
      </c>
      <c r="L48" s="30">
        <v>2350000</v>
      </c>
      <c r="M48" s="30">
        <v>3375</v>
      </c>
    </row>
    <row r="49" spans="1:13" x14ac:dyDescent="0.3">
      <c r="A49" s="32" t="s">
        <v>23</v>
      </c>
      <c r="B49" s="29">
        <v>0</v>
      </c>
      <c r="C49" s="29">
        <v>0</v>
      </c>
      <c r="D49" s="29">
        <v>7.1232876712328766E-2</v>
      </c>
      <c r="E49" s="30"/>
      <c r="F49" s="30"/>
      <c r="G49" s="30">
        <v>1250000</v>
      </c>
      <c r="H49" s="30"/>
      <c r="I49" s="30"/>
      <c r="J49" s="30">
        <v>1990</v>
      </c>
      <c r="K49" s="29">
        <v>6.1050777810390373E-2</v>
      </c>
      <c r="L49" s="30">
        <v>1250000</v>
      </c>
      <c r="M49" s="30">
        <v>1990</v>
      </c>
    </row>
    <row r="50" spans="1:13" x14ac:dyDescent="0.3">
      <c r="A50" s="32" t="s">
        <v>17</v>
      </c>
      <c r="B50" s="29">
        <v>0</v>
      </c>
      <c r="C50" s="29">
        <v>0</v>
      </c>
      <c r="D50" s="29">
        <v>7.5342465753424653E-2</v>
      </c>
      <c r="E50" s="30"/>
      <c r="F50" s="30"/>
      <c r="G50" s="30">
        <v>1100000</v>
      </c>
      <c r="H50" s="30"/>
      <c r="I50" s="30"/>
      <c r="J50" s="30">
        <v>1385</v>
      </c>
      <c r="K50" s="29">
        <v>6.4572938068682126E-2</v>
      </c>
      <c r="L50" s="30">
        <v>1100000</v>
      </c>
      <c r="M50" s="30">
        <v>1385</v>
      </c>
    </row>
    <row r="51" spans="1:13" x14ac:dyDescent="0.3">
      <c r="A51" s="28" t="s">
        <v>97</v>
      </c>
      <c r="B51" s="29">
        <v>0.70921985815602839</v>
      </c>
      <c r="C51" s="29">
        <v>0</v>
      </c>
      <c r="D51" s="29">
        <v>0.65753424657534243</v>
      </c>
      <c r="E51" s="30">
        <v>1000000</v>
      </c>
      <c r="F51" s="30"/>
      <c r="G51" s="30">
        <v>6400000</v>
      </c>
      <c r="H51" s="30">
        <v>680</v>
      </c>
      <c r="I51" s="30"/>
      <c r="J51" s="30">
        <v>3625</v>
      </c>
      <c r="K51" s="29">
        <v>0.65159964778397417</v>
      </c>
      <c r="L51" s="30">
        <v>7400000</v>
      </c>
      <c r="M51" s="30">
        <v>4305</v>
      </c>
    </row>
    <row r="52" spans="1:13" x14ac:dyDescent="0.3">
      <c r="A52" s="31" t="s">
        <v>94</v>
      </c>
      <c r="B52" s="29">
        <v>0</v>
      </c>
      <c r="C52" s="29">
        <v>0</v>
      </c>
      <c r="D52" s="29">
        <v>0.65753424657534243</v>
      </c>
      <c r="E52" s="30"/>
      <c r="F52" s="30"/>
      <c r="G52" s="30">
        <v>6400000</v>
      </c>
      <c r="H52" s="30"/>
      <c r="I52" s="30"/>
      <c r="J52" s="30">
        <v>3625</v>
      </c>
      <c r="K52" s="29">
        <v>0.56354564132668039</v>
      </c>
      <c r="L52" s="30">
        <v>6400000</v>
      </c>
      <c r="M52" s="30">
        <v>3625</v>
      </c>
    </row>
    <row r="53" spans="1:13" x14ac:dyDescent="0.3">
      <c r="A53" s="32" t="s">
        <v>23</v>
      </c>
      <c r="B53" s="29">
        <v>0</v>
      </c>
      <c r="C53" s="29">
        <v>0</v>
      </c>
      <c r="D53" s="29">
        <v>0.39554794520547948</v>
      </c>
      <c r="E53" s="30"/>
      <c r="F53" s="30"/>
      <c r="G53" s="30">
        <v>3850000</v>
      </c>
      <c r="H53" s="30"/>
      <c r="I53" s="30"/>
      <c r="J53" s="30">
        <v>2175</v>
      </c>
      <c r="K53" s="29">
        <v>0.33900792486058118</v>
      </c>
      <c r="L53" s="30">
        <v>3850000</v>
      </c>
      <c r="M53" s="30">
        <v>2175</v>
      </c>
    </row>
    <row r="54" spans="1:13" x14ac:dyDescent="0.3">
      <c r="A54" s="32" t="s">
        <v>17</v>
      </c>
      <c r="B54" s="29">
        <v>0</v>
      </c>
      <c r="C54" s="29">
        <v>0</v>
      </c>
      <c r="D54" s="29">
        <v>0.26198630136986301</v>
      </c>
      <c r="E54" s="30"/>
      <c r="F54" s="30"/>
      <c r="G54" s="30">
        <v>2550000</v>
      </c>
      <c r="H54" s="30"/>
      <c r="I54" s="30"/>
      <c r="J54" s="30">
        <v>1450</v>
      </c>
      <c r="K54" s="29">
        <v>0.22453771646609921</v>
      </c>
      <c r="L54" s="30">
        <v>2550000</v>
      </c>
      <c r="M54" s="30">
        <v>1450</v>
      </c>
    </row>
    <row r="55" spans="1:13" x14ac:dyDescent="0.3">
      <c r="A55" s="31" t="s">
        <v>96</v>
      </c>
      <c r="B55" s="29">
        <v>0.70921985815602839</v>
      </c>
      <c r="C55" s="29">
        <v>0</v>
      </c>
      <c r="D55" s="29">
        <v>0</v>
      </c>
      <c r="E55" s="30">
        <v>1000000</v>
      </c>
      <c r="F55" s="30"/>
      <c r="G55" s="30"/>
      <c r="H55" s="30">
        <v>680</v>
      </c>
      <c r="I55" s="30"/>
      <c r="J55" s="30"/>
      <c r="K55" s="29">
        <v>8.8054006457293804E-2</v>
      </c>
      <c r="L55" s="30">
        <v>1000000</v>
      </c>
      <c r="M55" s="30">
        <v>680</v>
      </c>
    </row>
    <row r="56" spans="1:13" x14ac:dyDescent="0.3">
      <c r="A56" s="32" t="s">
        <v>17</v>
      </c>
      <c r="B56" s="29">
        <v>0.70921985815602839</v>
      </c>
      <c r="C56" s="29">
        <v>0</v>
      </c>
      <c r="D56" s="29">
        <v>0</v>
      </c>
      <c r="E56" s="30">
        <v>1000000</v>
      </c>
      <c r="F56" s="30"/>
      <c r="G56" s="30"/>
      <c r="H56" s="30">
        <v>680</v>
      </c>
      <c r="I56" s="30"/>
      <c r="J56" s="30"/>
      <c r="K56" s="29">
        <v>8.8054006457293804E-2</v>
      </c>
      <c r="L56" s="30">
        <v>1000000</v>
      </c>
      <c r="M56" s="30">
        <v>680</v>
      </c>
    </row>
    <row r="57" spans="1:13" x14ac:dyDescent="0.3">
      <c r="A57" s="28" t="s">
        <v>95</v>
      </c>
      <c r="B57" s="29">
        <v>9.4562647754137114E-2</v>
      </c>
      <c r="C57" s="29">
        <v>1</v>
      </c>
      <c r="D57" s="29">
        <v>3.4931506849315071E-2</v>
      </c>
      <c r="E57" s="30">
        <v>150000</v>
      </c>
      <c r="F57" s="30">
        <v>200000</v>
      </c>
      <c r="G57" s="30">
        <v>510000</v>
      </c>
      <c r="H57" s="30">
        <v>590</v>
      </c>
      <c r="I57" s="30">
        <v>575</v>
      </c>
      <c r="J57" s="30">
        <v>1265</v>
      </c>
      <c r="K57" s="29">
        <v>6.0463751100675082E-2</v>
      </c>
      <c r="L57" s="30">
        <v>860000</v>
      </c>
      <c r="M57" s="30">
        <v>2430</v>
      </c>
    </row>
    <row r="58" spans="1:13" x14ac:dyDescent="0.3">
      <c r="A58" s="31" t="s">
        <v>98</v>
      </c>
      <c r="B58" s="29">
        <v>9.4562647754137114E-2</v>
      </c>
      <c r="C58" s="29">
        <v>1</v>
      </c>
      <c r="D58" s="29">
        <v>1.0958904109589041E-2</v>
      </c>
      <c r="E58" s="30">
        <v>150000</v>
      </c>
      <c r="F58" s="30">
        <v>200000</v>
      </c>
      <c r="G58" s="30">
        <v>160000</v>
      </c>
      <c r="H58" s="30">
        <v>590</v>
      </c>
      <c r="I58" s="30">
        <v>575</v>
      </c>
      <c r="J58" s="30">
        <v>585</v>
      </c>
      <c r="K58" s="29">
        <v>3.9917816260639859E-2</v>
      </c>
      <c r="L58" s="30">
        <v>510000</v>
      </c>
      <c r="M58" s="30">
        <v>1750</v>
      </c>
    </row>
    <row r="59" spans="1:13" x14ac:dyDescent="0.3">
      <c r="A59" s="32" t="s">
        <v>23</v>
      </c>
      <c r="B59" s="29">
        <v>0</v>
      </c>
      <c r="C59" s="29">
        <v>1</v>
      </c>
      <c r="D59" s="29">
        <v>1.0958904109589041E-2</v>
      </c>
      <c r="E59" s="30"/>
      <c r="F59" s="30">
        <v>200000</v>
      </c>
      <c r="G59" s="30">
        <v>160000</v>
      </c>
      <c r="H59" s="30"/>
      <c r="I59" s="30">
        <v>575</v>
      </c>
      <c r="J59" s="30">
        <v>585</v>
      </c>
      <c r="K59" s="29">
        <v>2.817728206633402E-2</v>
      </c>
      <c r="L59" s="30">
        <v>360000</v>
      </c>
      <c r="M59" s="30">
        <v>1160</v>
      </c>
    </row>
    <row r="60" spans="1:13" x14ac:dyDescent="0.3">
      <c r="A60" s="32" t="s">
        <v>17</v>
      </c>
      <c r="B60" s="29">
        <v>9.4562647754137114E-2</v>
      </c>
      <c r="C60" s="29">
        <v>0</v>
      </c>
      <c r="D60" s="29">
        <v>0</v>
      </c>
      <c r="E60" s="30">
        <v>150000</v>
      </c>
      <c r="F60" s="30"/>
      <c r="G60" s="30"/>
      <c r="H60" s="30">
        <v>590</v>
      </c>
      <c r="I60" s="30"/>
      <c r="J60" s="30"/>
      <c r="K60" s="29">
        <v>1.1740534194305841E-2</v>
      </c>
      <c r="L60" s="30">
        <v>150000</v>
      </c>
      <c r="M60" s="30">
        <v>590</v>
      </c>
    </row>
    <row r="61" spans="1:13" x14ac:dyDescent="0.3">
      <c r="A61" s="31" t="s">
        <v>96</v>
      </c>
      <c r="B61" s="29">
        <v>0</v>
      </c>
      <c r="C61" s="29">
        <v>0</v>
      </c>
      <c r="D61" s="29">
        <v>2.3972602739726026E-2</v>
      </c>
      <c r="E61" s="30"/>
      <c r="F61" s="30"/>
      <c r="G61" s="30">
        <v>350000</v>
      </c>
      <c r="H61" s="30"/>
      <c r="I61" s="30"/>
      <c r="J61" s="30">
        <v>680</v>
      </c>
      <c r="K61" s="29">
        <v>2.054593484003522E-2</v>
      </c>
      <c r="L61" s="30">
        <v>350000</v>
      </c>
      <c r="M61" s="30">
        <v>680</v>
      </c>
    </row>
    <row r="62" spans="1:13" x14ac:dyDescent="0.3">
      <c r="A62" s="32" t="s">
        <v>23</v>
      </c>
      <c r="B62" s="29">
        <v>0</v>
      </c>
      <c r="C62" s="29">
        <v>0</v>
      </c>
      <c r="D62" s="29">
        <v>2.3972602739726026E-2</v>
      </c>
      <c r="E62" s="30"/>
      <c r="F62" s="30"/>
      <c r="G62" s="30">
        <v>350000</v>
      </c>
      <c r="H62" s="30"/>
      <c r="I62" s="30"/>
      <c r="J62" s="30">
        <v>680</v>
      </c>
      <c r="K62" s="29">
        <v>2.054593484003522E-2</v>
      </c>
      <c r="L62" s="30">
        <v>350000</v>
      </c>
      <c r="M62" s="30">
        <v>680</v>
      </c>
    </row>
    <row r="63" spans="1:13" x14ac:dyDescent="0.3">
      <c r="A63" s="28" t="s">
        <v>99</v>
      </c>
      <c r="B63" s="29">
        <v>1</v>
      </c>
      <c r="C63" s="29">
        <v>1</v>
      </c>
      <c r="D63" s="29">
        <v>1</v>
      </c>
      <c r="E63" s="30">
        <v>1505000</v>
      </c>
      <c r="F63" s="30">
        <v>200000</v>
      </c>
      <c r="G63" s="30">
        <v>11610000</v>
      </c>
      <c r="H63" s="30">
        <v>2480</v>
      </c>
      <c r="I63" s="30">
        <v>575</v>
      </c>
      <c r="J63" s="30">
        <v>10390</v>
      </c>
      <c r="K63" s="29">
        <v>1</v>
      </c>
      <c r="L63" s="30">
        <v>13315000</v>
      </c>
      <c r="M63" s="30">
        <v>13445</v>
      </c>
    </row>
    <row r="65" spans="1:13" ht="15.6" x14ac:dyDescent="0.3">
      <c r="A65" s="25" t="s">
        <v>115</v>
      </c>
      <c r="B65" s="25"/>
      <c r="C65" s="25" t="s">
        <v>121</v>
      </c>
      <c r="D65" s="25"/>
      <c r="E65" s="25"/>
      <c r="F65" s="25"/>
      <c r="G65" s="25"/>
      <c r="H65" s="25"/>
      <c r="I65" s="25"/>
      <c r="J65" s="25"/>
      <c r="K65" s="25"/>
      <c r="L65" s="25"/>
      <c r="M65" s="25"/>
    </row>
  </sheetData>
  <mergeCells count="4">
    <mergeCell ref="B2:L2"/>
    <mergeCell ref="B13:L13"/>
    <mergeCell ref="B27:L27"/>
    <mergeCell ref="B38:L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51DCD-E95C-488E-8E44-8BD87907D4F0}">
  <dimension ref="A2:C9"/>
  <sheetViews>
    <sheetView tabSelected="1" workbookViewId="0">
      <selection activeCell="B15" sqref="B15"/>
    </sheetView>
  </sheetViews>
  <sheetFormatPr defaultRowHeight="14.4" x14ac:dyDescent="0.3"/>
  <cols>
    <col min="1" max="1" width="27.88671875" customWidth="1"/>
    <col min="2" max="2" width="37.44140625" customWidth="1"/>
    <col min="3" max="3" width="13.77734375" bestFit="1" customWidth="1"/>
  </cols>
  <sheetData>
    <row r="2" spans="1:3" x14ac:dyDescent="0.3">
      <c r="A2" s="12" t="s">
        <v>92</v>
      </c>
      <c r="B2" s="12"/>
      <c r="C2" s="12"/>
    </row>
    <row r="3" spans="1:3" x14ac:dyDescent="0.3">
      <c r="A3" s="9" t="s">
        <v>77</v>
      </c>
      <c r="B3" s="9" t="s">
        <v>78</v>
      </c>
      <c r="C3" s="9" t="s">
        <v>85</v>
      </c>
    </row>
    <row r="4" spans="1:3" x14ac:dyDescent="0.3">
      <c r="A4" t="s">
        <v>79</v>
      </c>
      <c r="B4" t="s">
        <v>90</v>
      </c>
      <c r="C4" s="5">
        <f>SUM(Data!G2:G21)</f>
        <v>13315000</v>
      </c>
    </row>
    <row r="5" spans="1:3" x14ac:dyDescent="0.3">
      <c r="A5" t="s">
        <v>80</v>
      </c>
      <c r="B5" t="s">
        <v>87</v>
      </c>
      <c r="C5" s="8">
        <f>AVERAGE(Data!G2:G21)</f>
        <v>665750</v>
      </c>
    </row>
    <row r="6" spans="1:3" x14ac:dyDescent="0.3">
      <c r="A6" t="s">
        <v>81</v>
      </c>
      <c r="B6" t="s">
        <v>88</v>
      </c>
      <c r="C6" s="4">
        <f>COUNTIF(Processing!I3:I22,1)/COUNTA(Processing!I3:I22)</f>
        <v>0.75</v>
      </c>
    </row>
    <row r="7" spans="1:3" x14ac:dyDescent="0.3">
      <c r="A7" t="s">
        <v>82</v>
      </c>
      <c r="B7" t="s">
        <v>86</v>
      </c>
      <c r="C7" s="1">
        <f>(COUNTIF(Processing!I3:I22,2)/COUNTIF(Processing!I3:I22,3))/COUNT(Processing!I3:I22)</f>
        <v>0.2</v>
      </c>
    </row>
    <row r="8" spans="1:3" x14ac:dyDescent="0.3">
      <c r="A8" t="s">
        <v>83</v>
      </c>
      <c r="B8" t="s">
        <v>89</v>
      </c>
      <c r="C8" s="1">
        <f>AVERAGE(Data!H2:H21)</f>
        <v>0.17299999999999999</v>
      </c>
    </row>
    <row r="9" spans="1:3" x14ac:dyDescent="0.3">
      <c r="A9" t="s">
        <v>84</v>
      </c>
      <c r="B9" t="s">
        <v>91</v>
      </c>
      <c r="C9" s="5">
        <f>SUM(Processing!F3:F22)</f>
        <v>3635569.220591954</v>
      </c>
    </row>
  </sheetData>
  <mergeCells count="1">
    <mergeCell ref="A2:C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6AEA73-4816-4678-95B8-78DE10B156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Processing</vt:lpstr>
      <vt:lpstr>Merged</vt:lpstr>
      <vt:lpstr>Analysis</vt:lpstr>
      <vt:lpstr>Portfolio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Lugonzo</dc:creator>
  <cp:lastModifiedBy>Isaac Lugonzo</cp:lastModifiedBy>
  <dcterms:created xsi:type="dcterms:W3CDTF">2026-09-01T09:17:16Z</dcterms:created>
  <dcterms:modified xsi:type="dcterms:W3CDTF">2026-09-02T11:38:44Z</dcterms:modified>
</cp:coreProperties>
</file>