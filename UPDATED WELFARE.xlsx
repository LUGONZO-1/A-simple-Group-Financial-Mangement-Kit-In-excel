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gogroup-my.sharepoint.com/personal/isaac_lugonzo_mogo_co_ke/Documents/Desktop/"/>
    </mc:Choice>
  </mc:AlternateContent>
  <xr:revisionPtr revIDLastSave="1150" documentId="13_ncr:1_{B8817DC4-EA9E-4BF5-863B-C17BAF53AC04}" xr6:coauthVersionLast="47" xr6:coauthVersionMax="47" xr10:uidLastSave="{F8F81429-A94B-4BBF-BD12-8F8D3B30C44C}"/>
  <bookViews>
    <workbookView xWindow="-108" yWindow="-108" windowWidth="23256" windowHeight="12456" tabRatio="500" xr2:uid="{00000000-000D-0000-FFFF-FFFF00000000}"/>
  </bookViews>
  <sheets>
    <sheet name="SAVING" sheetId="7" r:id="rId1"/>
    <sheet name="Membership" sheetId="10" r:id="rId2"/>
    <sheet name="Loan" sheetId="12" r:id="rId3"/>
    <sheet name="Data Collection" sheetId="11" r:id="rId4"/>
    <sheet name="LOANS" sheetId="5" r:id="rId5"/>
    <sheet name="INCOME" sheetId="6" r:id="rId6"/>
    <sheet name="TAKE HOME" sheetId="8" r:id="rId7"/>
    <sheet name="Budge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2" i="12"/>
  <c r="B3" i="10"/>
  <c r="F2" i="12"/>
  <c r="G2" i="12" s="1"/>
  <c r="I2" i="12" s="1"/>
  <c r="H14" i="11" l="1"/>
  <c r="H13" i="11"/>
  <c r="H12" i="11"/>
  <c r="C9" i="11"/>
  <c r="C13" i="11" s="1"/>
  <c r="H10" i="11"/>
  <c r="H15" i="11" s="1"/>
  <c r="C12" i="11"/>
  <c r="C11" i="1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H18" i="9" l="1"/>
  <c r="G24" i="9"/>
  <c r="I24" i="9"/>
  <c r="J24" i="9"/>
  <c r="L24" i="9"/>
  <c r="M24" i="9"/>
  <c r="N24" i="9"/>
  <c r="O24" i="9"/>
  <c r="E13" i="9"/>
  <c r="E24" i="9" s="1"/>
  <c r="F13" i="9"/>
  <c r="F24" i="9" s="1"/>
  <c r="G13" i="9"/>
  <c r="H13" i="9"/>
  <c r="I13" i="9"/>
  <c r="J13" i="9"/>
  <c r="K13" i="9"/>
  <c r="K24" i="9" s="1"/>
  <c r="L13" i="9"/>
  <c r="M13" i="9"/>
  <c r="N13" i="9"/>
  <c r="O13" i="9"/>
  <c r="H23" i="5"/>
  <c r="K23" i="5"/>
  <c r="L23" i="5"/>
  <c r="M23" i="5"/>
  <c r="N23" i="5"/>
  <c r="D13" i="9"/>
  <c r="D24" i="9" s="1"/>
  <c r="M55" i="5"/>
  <c r="J8" i="5"/>
  <c r="E12" i="5"/>
  <c r="D18" i="6"/>
  <c r="N63" i="5"/>
  <c r="M63" i="5"/>
  <c r="L63" i="5"/>
  <c r="K63" i="5"/>
  <c r="J63" i="5"/>
  <c r="I63" i="5"/>
  <c r="H63" i="5"/>
  <c r="G63" i="5"/>
  <c r="F63" i="5"/>
  <c r="E63" i="5"/>
  <c r="D63" i="5"/>
  <c r="C63" i="5"/>
  <c r="F34" i="7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E34" i="7"/>
  <c r="E35" i="7"/>
  <c r="F35" i="7" s="1"/>
  <c r="G35" i="7" s="1"/>
  <c r="H35" i="7" s="1"/>
  <c r="I35" i="7" s="1"/>
  <c r="F22" i="5"/>
  <c r="F23" i="5" s="1"/>
  <c r="G17" i="5"/>
  <c r="I17" i="5"/>
  <c r="D22" i="5"/>
  <c r="D23" i="5" s="1"/>
  <c r="M17" i="5"/>
  <c r="D17" i="5"/>
  <c r="C17" i="5"/>
  <c r="D17" i="6"/>
  <c r="N59" i="5"/>
  <c r="M59" i="5"/>
  <c r="L59" i="5"/>
  <c r="K59" i="5"/>
  <c r="J59" i="5"/>
  <c r="I59" i="5"/>
  <c r="H59" i="5"/>
  <c r="G59" i="5"/>
  <c r="F59" i="5"/>
  <c r="E59" i="5"/>
  <c r="D59" i="5"/>
  <c r="C59" i="5"/>
  <c r="D8" i="5"/>
  <c r="I12" i="5"/>
  <c r="N55" i="5"/>
  <c r="L55" i="5"/>
  <c r="K55" i="5"/>
  <c r="J55" i="5"/>
  <c r="I55" i="5"/>
  <c r="H55" i="5"/>
  <c r="G55" i="5"/>
  <c r="F55" i="5"/>
  <c r="E55" i="5"/>
  <c r="D55" i="5"/>
  <c r="C55" i="5"/>
  <c r="N51" i="5"/>
  <c r="M51" i="5"/>
  <c r="L51" i="5"/>
  <c r="K51" i="5"/>
  <c r="J51" i="5"/>
  <c r="I51" i="5"/>
  <c r="H51" i="5"/>
  <c r="G51" i="5"/>
  <c r="F51" i="5"/>
  <c r="E51" i="5"/>
  <c r="D51" i="5"/>
  <c r="C51" i="5"/>
  <c r="N47" i="5"/>
  <c r="M47" i="5"/>
  <c r="L47" i="5"/>
  <c r="K47" i="5"/>
  <c r="J47" i="5"/>
  <c r="I47" i="5"/>
  <c r="H47" i="5"/>
  <c r="G47" i="5"/>
  <c r="F47" i="5"/>
  <c r="E47" i="5"/>
  <c r="D47" i="5"/>
  <c r="C47" i="5"/>
  <c r="N43" i="5"/>
  <c r="M43" i="5"/>
  <c r="L43" i="5"/>
  <c r="K43" i="5"/>
  <c r="J43" i="5"/>
  <c r="I43" i="5"/>
  <c r="H43" i="5"/>
  <c r="G43" i="5"/>
  <c r="F43" i="5"/>
  <c r="E43" i="5"/>
  <c r="D43" i="5"/>
  <c r="C43" i="5"/>
  <c r="N39" i="5"/>
  <c r="M39" i="5"/>
  <c r="L39" i="5"/>
  <c r="K39" i="5"/>
  <c r="J39" i="5"/>
  <c r="I39" i="5"/>
  <c r="H39" i="5"/>
  <c r="G39" i="5"/>
  <c r="F39" i="5"/>
  <c r="E39" i="5"/>
  <c r="D39" i="5"/>
  <c r="C39" i="5"/>
  <c r="N35" i="5"/>
  <c r="M35" i="5"/>
  <c r="L35" i="5"/>
  <c r="K35" i="5"/>
  <c r="J35" i="5"/>
  <c r="I35" i="5"/>
  <c r="H35" i="5"/>
  <c r="G35" i="5"/>
  <c r="F35" i="5"/>
  <c r="E35" i="5"/>
  <c r="D35" i="5"/>
  <c r="C35" i="5"/>
  <c r="N31" i="5"/>
  <c r="M31" i="5"/>
  <c r="L31" i="5"/>
  <c r="K31" i="5"/>
  <c r="J31" i="5"/>
  <c r="I31" i="5"/>
  <c r="H31" i="5"/>
  <c r="G31" i="5"/>
  <c r="F31" i="5"/>
  <c r="E31" i="5"/>
  <c r="D31" i="5"/>
  <c r="C31" i="5"/>
  <c r="N27" i="5"/>
  <c r="M27" i="5"/>
  <c r="L27" i="5"/>
  <c r="K27" i="5"/>
  <c r="J27" i="5"/>
  <c r="I27" i="5"/>
  <c r="H27" i="5"/>
  <c r="G27" i="5"/>
  <c r="F27" i="5"/>
  <c r="E27" i="5"/>
  <c r="D27" i="5"/>
  <c r="C27" i="5"/>
  <c r="N22" i="5"/>
  <c r="M22" i="5"/>
  <c r="K22" i="5"/>
  <c r="J22" i="5"/>
  <c r="J23" i="5" s="1"/>
  <c r="I22" i="5"/>
  <c r="I23" i="5" s="1"/>
  <c r="H22" i="5"/>
  <c r="I10" i="6" s="1"/>
  <c r="G22" i="5"/>
  <c r="G23" i="5" s="1"/>
  <c r="E22" i="5"/>
  <c r="E23" i="5" s="1"/>
  <c r="C22" i="5"/>
  <c r="C23" i="5" s="1"/>
  <c r="N17" i="5"/>
  <c r="L17" i="5"/>
  <c r="K17" i="5"/>
  <c r="J17" i="5"/>
  <c r="H17" i="5"/>
  <c r="F17" i="5"/>
  <c r="E17" i="5"/>
  <c r="N12" i="5"/>
  <c r="M12" i="5"/>
  <c r="L12" i="5"/>
  <c r="K12" i="5"/>
  <c r="J12" i="5"/>
  <c r="H12" i="5"/>
  <c r="G12" i="5"/>
  <c r="F12" i="5"/>
  <c r="D12" i="5"/>
  <c r="C12" i="5"/>
  <c r="E8" i="5"/>
  <c r="F8" i="5"/>
  <c r="G8" i="5"/>
  <c r="H8" i="5"/>
  <c r="I8" i="5"/>
  <c r="K8" i="5"/>
  <c r="L8" i="5"/>
  <c r="M8" i="5"/>
  <c r="N8" i="5"/>
  <c r="C8" i="5"/>
  <c r="E23" i="7"/>
  <c r="F23" i="7" s="1"/>
  <c r="G23" i="7" s="1"/>
  <c r="E24" i="7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D8" i="8" s="1"/>
  <c r="E26" i="7"/>
  <c r="F26" i="7" s="1"/>
  <c r="G26" i="7" s="1"/>
  <c r="H26" i="7" s="1"/>
  <c r="I26" i="7" s="1"/>
  <c r="J26" i="7" s="1"/>
  <c r="K26" i="7" s="1"/>
  <c r="L26" i="7" s="1"/>
  <c r="M26" i="7" s="1"/>
  <c r="N26" i="7" s="1"/>
  <c r="O26" i="7" s="1"/>
  <c r="P26" i="7" s="1"/>
  <c r="D9" i="8" s="1"/>
  <c r="E27" i="7"/>
  <c r="F27" i="7" s="1"/>
  <c r="G27" i="7" s="1"/>
  <c r="H27" i="7" s="1"/>
  <c r="I27" i="7" s="1"/>
  <c r="J27" i="7" s="1"/>
  <c r="K27" i="7" s="1"/>
  <c r="L27" i="7" s="1"/>
  <c r="M27" i="7" s="1"/>
  <c r="N27" i="7" s="1"/>
  <c r="O27" i="7" s="1"/>
  <c r="P27" i="7" s="1"/>
  <c r="D10" i="8" s="1"/>
  <c r="E28" i="7"/>
  <c r="F28" i="7" s="1"/>
  <c r="G28" i="7" s="1"/>
  <c r="H28" i="7" s="1"/>
  <c r="I28" i="7" s="1"/>
  <c r="J28" i="7" s="1"/>
  <c r="K28" i="7" s="1"/>
  <c r="L28" i="7" s="1"/>
  <c r="M28" i="7" s="1"/>
  <c r="N28" i="7" s="1"/>
  <c r="O28" i="7" s="1"/>
  <c r="P28" i="7" s="1"/>
  <c r="D11" i="8" s="1"/>
  <c r="E29" i="7"/>
  <c r="F29" i="7" s="1"/>
  <c r="G29" i="7" s="1"/>
  <c r="H29" i="7" s="1"/>
  <c r="I29" i="7" s="1"/>
  <c r="J29" i="7" s="1"/>
  <c r="K29" i="7" s="1"/>
  <c r="L29" i="7" s="1"/>
  <c r="M29" i="7" s="1"/>
  <c r="N29" i="7" s="1"/>
  <c r="O29" i="7" s="1"/>
  <c r="P29" i="7" s="1"/>
  <c r="D12" i="8" s="1"/>
  <c r="E30" i="7"/>
  <c r="F30" i="7" s="1"/>
  <c r="G30" i="7" s="1"/>
  <c r="H30" i="7" s="1"/>
  <c r="I30" i="7" s="1"/>
  <c r="J30" i="7" s="1"/>
  <c r="K30" i="7" s="1"/>
  <c r="L30" i="7" s="1"/>
  <c r="M30" i="7" s="1"/>
  <c r="N30" i="7" s="1"/>
  <c r="O30" i="7" s="1"/>
  <c r="P30" i="7" s="1"/>
  <c r="D13" i="8" s="1"/>
  <c r="E31" i="7"/>
  <c r="F31" i="7" s="1"/>
  <c r="G31" i="7" s="1"/>
  <c r="H31" i="7" s="1"/>
  <c r="I31" i="7" s="1"/>
  <c r="J31" i="7" s="1"/>
  <c r="K31" i="7" s="1"/>
  <c r="L31" i="7" s="1"/>
  <c r="M31" i="7" s="1"/>
  <c r="N31" i="7" s="1"/>
  <c r="O31" i="7" s="1"/>
  <c r="P31" i="7" s="1"/>
  <c r="D14" i="8" s="1"/>
  <c r="E32" i="7"/>
  <c r="F32" i="7" s="1"/>
  <c r="G32" i="7" s="1"/>
  <c r="H32" i="7" s="1"/>
  <c r="I32" i="7" s="1"/>
  <c r="J32" i="7" s="1"/>
  <c r="K32" i="7" s="1"/>
  <c r="L32" i="7" s="1"/>
  <c r="M32" i="7" s="1"/>
  <c r="N32" i="7" s="1"/>
  <c r="O32" i="7" s="1"/>
  <c r="P32" i="7" s="1"/>
  <c r="D15" i="8" s="1"/>
  <c r="E33" i="7"/>
  <c r="F33" i="7" s="1"/>
  <c r="G33" i="7" s="1"/>
  <c r="H33" i="7" s="1"/>
  <c r="I33" i="7" s="1"/>
  <c r="J33" i="7" s="1"/>
  <c r="K33" i="7" s="1"/>
  <c r="E22" i="7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D16" i="6"/>
  <c r="D15" i="6"/>
  <c r="D14" i="6"/>
  <c r="D13" i="6"/>
  <c r="D12" i="6"/>
  <c r="D11" i="6"/>
  <c r="D10" i="6"/>
  <c r="D9" i="6"/>
  <c r="D7" i="6"/>
  <c r="D5" i="6"/>
  <c r="D6" i="6"/>
  <c r="H24" i="9" l="1"/>
  <c r="D8" i="6"/>
  <c r="F8" i="6" s="1"/>
  <c r="L22" i="5"/>
  <c r="D17" i="8"/>
  <c r="F17" i="6"/>
  <c r="J35" i="7"/>
  <c r="K35" i="7" s="1"/>
  <c r="L35" i="7" s="1"/>
  <c r="M35" i="7" s="1"/>
  <c r="N35" i="7" s="1"/>
  <c r="O35" i="7" s="1"/>
  <c r="P35" i="7" s="1"/>
  <c r="D18" i="8" s="1"/>
  <c r="L33" i="7"/>
  <c r="M33" i="7" s="1"/>
  <c r="N33" i="7" s="1"/>
  <c r="O33" i="7" s="1"/>
  <c r="F7" i="6"/>
  <c r="F11" i="6"/>
  <c r="F14" i="6"/>
  <c r="F15" i="6"/>
  <c r="F12" i="6"/>
  <c r="F10" i="6"/>
  <c r="F9" i="6"/>
  <c r="F13" i="6"/>
  <c r="D5" i="8"/>
  <c r="F5" i="6"/>
  <c r="D7" i="8"/>
  <c r="I9" i="6"/>
  <c r="I11" i="6"/>
  <c r="I5" i="6"/>
  <c r="I13" i="6"/>
  <c r="I15" i="6"/>
  <c r="I16" i="6"/>
  <c r="I6" i="6"/>
  <c r="H23" i="7"/>
  <c r="I7" i="6"/>
  <c r="I12" i="6"/>
  <c r="I8" i="6"/>
  <c r="O23" i="6" l="1"/>
  <c r="O35" i="6"/>
  <c r="N33" i="6"/>
  <c r="M31" i="6"/>
  <c r="L29" i="6"/>
  <c r="K27" i="6"/>
  <c r="J25" i="6"/>
  <c r="I23" i="6"/>
  <c r="I35" i="6"/>
  <c r="H33" i="6"/>
  <c r="G31" i="6"/>
  <c r="F29" i="6"/>
  <c r="E27" i="6"/>
  <c r="D25" i="6"/>
  <c r="I25" i="6"/>
  <c r="H35" i="6"/>
  <c r="F31" i="6"/>
  <c r="D27" i="6"/>
  <c r="M26" i="6"/>
  <c r="G26" i="6"/>
  <c r="M27" i="6"/>
  <c r="F25" i="6"/>
  <c r="D33" i="6"/>
  <c r="K24" i="6"/>
  <c r="E24" i="6"/>
  <c r="M29" i="6"/>
  <c r="N32" i="6"/>
  <c r="I34" i="6"/>
  <c r="O24" i="6"/>
  <c r="O22" i="6"/>
  <c r="N34" i="6"/>
  <c r="M32" i="6"/>
  <c r="L30" i="6"/>
  <c r="K28" i="6"/>
  <c r="J26" i="6"/>
  <c r="I24" i="6"/>
  <c r="I22" i="6"/>
  <c r="H34" i="6"/>
  <c r="G32" i="6"/>
  <c r="F30" i="6"/>
  <c r="E28" i="6"/>
  <c r="D26" i="6"/>
  <c r="E35" i="6"/>
  <c r="D34" i="6"/>
  <c r="J23" i="6"/>
  <c r="M30" i="6"/>
  <c r="F28" i="6"/>
  <c r="O25" i="6"/>
  <c r="N23" i="6"/>
  <c r="N35" i="6"/>
  <c r="M33" i="6"/>
  <c r="L31" i="6"/>
  <c r="K29" i="6"/>
  <c r="J27" i="6"/>
  <c r="H23" i="6"/>
  <c r="G33" i="6"/>
  <c r="E29" i="6"/>
  <c r="N28" i="6"/>
  <c r="H28" i="6"/>
  <c r="L25" i="6"/>
  <c r="K23" i="6"/>
  <c r="G27" i="6"/>
  <c r="M28" i="6"/>
  <c r="E22" i="6"/>
  <c r="K25" i="6"/>
  <c r="H31" i="6"/>
  <c r="L28" i="6"/>
  <c r="H32" i="6"/>
  <c r="O26" i="6"/>
  <c r="N24" i="6"/>
  <c r="N22" i="6"/>
  <c r="M34" i="6"/>
  <c r="L32" i="6"/>
  <c r="K30" i="6"/>
  <c r="J28" i="6"/>
  <c r="I26" i="6"/>
  <c r="H24" i="6"/>
  <c r="H22" i="6"/>
  <c r="G34" i="6"/>
  <c r="F32" i="6"/>
  <c r="E30" i="6"/>
  <c r="D28" i="6"/>
  <c r="O27" i="6"/>
  <c r="N25" i="6"/>
  <c r="M23" i="6"/>
  <c r="M35" i="6"/>
  <c r="L33" i="6"/>
  <c r="K31" i="6"/>
  <c r="J29" i="6"/>
  <c r="I27" i="6"/>
  <c r="H25" i="6"/>
  <c r="G23" i="6"/>
  <c r="G35" i="6"/>
  <c r="F33" i="6"/>
  <c r="E31" i="6"/>
  <c r="D29" i="6"/>
  <c r="N27" i="6"/>
  <c r="M25" i="6"/>
  <c r="L23" i="6"/>
  <c r="L35" i="6"/>
  <c r="K33" i="6"/>
  <c r="I29" i="6"/>
  <c r="H27" i="6"/>
  <c r="G25" i="6"/>
  <c r="F23" i="6"/>
  <c r="E33" i="6"/>
  <c r="D31" i="6"/>
  <c r="O30" i="6"/>
  <c r="L22" i="6"/>
  <c r="K34" i="6"/>
  <c r="J32" i="6"/>
  <c r="I30" i="6"/>
  <c r="F22" i="6"/>
  <c r="E34" i="6"/>
  <c r="D32" i="6"/>
  <c r="O31" i="6"/>
  <c r="K35" i="6"/>
  <c r="J33" i="6"/>
  <c r="I31" i="6"/>
  <c r="E23" i="6"/>
  <c r="O32" i="6"/>
  <c r="N30" i="6"/>
  <c r="K22" i="6"/>
  <c r="J34" i="6"/>
  <c r="I32" i="6"/>
  <c r="H30" i="6"/>
  <c r="F26" i="6"/>
  <c r="O33" i="6"/>
  <c r="N31" i="6"/>
  <c r="J35" i="6"/>
  <c r="I33" i="6"/>
  <c r="G29" i="6"/>
  <c r="F27" i="6"/>
  <c r="E25" i="6"/>
  <c r="D35" i="6"/>
  <c r="O34" i="6"/>
  <c r="K26" i="6"/>
  <c r="J22" i="6"/>
  <c r="G30" i="6"/>
  <c r="E26" i="6"/>
  <c r="D24" i="6"/>
  <c r="O28" i="6"/>
  <c r="N26" i="6"/>
  <c r="M24" i="6"/>
  <c r="M22" i="6"/>
  <c r="L34" i="6"/>
  <c r="K32" i="6"/>
  <c r="J30" i="6"/>
  <c r="I28" i="6"/>
  <c r="H26" i="6"/>
  <c r="G24" i="6"/>
  <c r="G22" i="6"/>
  <c r="F34" i="6"/>
  <c r="E32" i="6"/>
  <c r="D30" i="6"/>
  <c r="O29" i="6"/>
  <c r="J31" i="6"/>
  <c r="F35" i="6"/>
  <c r="L24" i="6"/>
  <c r="F24" i="6"/>
  <c r="N29" i="6"/>
  <c r="H29" i="6"/>
  <c r="L26" i="6"/>
  <c r="G28" i="6"/>
  <c r="L27" i="6"/>
  <c r="D23" i="6"/>
  <c r="J24" i="6"/>
  <c r="D22" i="6"/>
  <c r="I14" i="6"/>
  <c r="O8" i="6" s="1"/>
  <c r="F18" i="6"/>
  <c r="P33" i="7"/>
  <c r="D16" i="8" s="1"/>
  <c r="I23" i="7"/>
  <c r="F16" i="6" l="1"/>
  <c r="J23" i="7"/>
  <c r="K23" i="7" l="1"/>
  <c r="L23" i="7" l="1"/>
  <c r="M23" i="7" l="1"/>
  <c r="N23" i="7" l="1"/>
  <c r="O23" i="7" l="1"/>
  <c r="P23" i="7" l="1"/>
  <c r="F6" i="6" s="1"/>
  <c r="L51" i="6" l="1"/>
  <c r="K51" i="6"/>
  <c r="I51" i="6"/>
  <c r="H51" i="6"/>
  <c r="G51" i="6"/>
  <c r="F51" i="6"/>
  <c r="E51" i="6"/>
  <c r="D51" i="6"/>
  <c r="O51" i="6"/>
  <c r="N51" i="6"/>
  <c r="J51" i="6"/>
  <c r="K40" i="6"/>
  <c r="O50" i="6"/>
  <c r="M51" i="6"/>
  <c r="H42" i="6"/>
  <c r="E41" i="6"/>
  <c r="D41" i="6"/>
  <c r="E44" i="6"/>
  <c r="M47" i="6"/>
  <c r="N50" i="6"/>
  <c r="K46" i="6"/>
  <c r="H41" i="6"/>
  <c r="H44" i="6"/>
  <c r="L48" i="6"/>
  <c r="F40" i="6"/>
  <c r="H46" i="6"/>
  <c r="G46" i="6"/>
  <c r="I46" i="6"/>
  <c r="D42" i="6"/>
  <c r="I42" i="6"/>
  <c r="F52" i="6"/>
  <c r="N43" i="6"/>
  <c r="F44" i="6"/>
  <c r="L46" i="6"/>
  <c r="K44" i="6"/>
  <c r="D46" i="6"/>
  <c r="L52" i="6"/>
  <c r="M44" i="6"/>
  <c r="O43" i="6"/>
  <c r="N41" i="6"/>
  <c r="N40" i="6"/>
  <c r="G43" i="6"/>
  <c r="M46" i="6"/>
  <c r="I40" i="6"/>
  <c r="J43" i="6"/>
  <c r="J45" i="6"/>
  <c r="E52" i="6"/>
  <c r="L44" i="6"/>
  <c r="I52" i="6"/>
  <c r="J46" i="6"/>
  <c r="G40" i="6"/>
  <c r="K52" i="6"/>
  <c r="M40" i="6"/>
  <c r="I39" i="6"/>
  <c r="N44" i="6"/>
  <c r="O49" i="6"/>
  <c r="H52" i="6"/>
  <c r="N39" i="6"/>
  <c r="I48" i="6"/>
  <c r="E45" i="6"/>
  <c r="D49" i="6"/>
  <c r="F45" i="6"/>
  <c r="D43" i="6"/>
  <c r="N42" i="6"/>
  <c r="E49" i="6"/>
  <c r="J52" i="6"/>
  <c r="K47" i="6"/>
  <c r="J49" i="6"/>
  <c r="O47" i="6"/>
  <c r="E39" i="6"/>
  <c r="M48" i="6"/>
  <c r="L47" i="6"/>
  <c r="D52" i="6"/>
  <c r="H39" i="6"/>
  <c r="M45" i="6"/>
  <c r="F49" i="6"/>
  <c r="K42" i="6"/>
  <c r="I41" i="6"/>
  <c r="O46" i="6"/>
  <c r="O42" i="6"/>
  <c r="I50" i="6"/>
  <c r="N52" i="6"/>
  <c r="N47" i="6"/>
  <c r="I44" i="6"/>
  <c r="F48" i="6"/>
  <c r="G45" i="6"/>
  <c r="M52" i="6"/>
  <c r="E47" i="6"/>
  <c r="O48" i="6"/>
  <c r="G39" i="6"/>
  <c r="J39" i="6"/>
  <c r="L43" i="6"/>
  <c r="L39" i="6"/>
  <c r="E46" i="6"/>
  <c r="M43" i="6"/>
  <c r="J42" i="6"/>
  <c r="M39" i="6"/>
  <c r="G41" i="6"/>
  <c r="D50" i="6"/>
  <c r="H43" i="6"/>
  <c r="J41" i="6"/>
  <c r="M42" i="6"/>
  <c r="M50" i="6"/>
  <c r="H50" i="6"/>
  <c r="E43" i="6"/>
  <c r="K49" i="6"/>
  <c r="L41" i="6"/>
  <c r="H45" i="6"/>
  <c r="I45" i="6"/>
  <c r="H49" i="6"/>
  <c r="D47" i="6"/>
  <c r="M41" i="6"/>
  <c r="O41" i="6"/>
  <c r="J48" i="6"/>
  <c r="D39" i="6"/>
  <c r="F43" i="6"/>
  <c r="G47" i="6"/>
  <c r="F46" i="6"/>
  <c r="N49" i="6"/>
  <c r="O52" i="6"/>
  <c r="D44" i="6"/>
  <c r="I43" i="6"/>
  <c r="J47" i="6"/>
  <c r="M49" i="6"/>
  <c r="G42" i="6"/>
  <c r="I47" i="6"/>
  <c r="I49" i="6"/>
  <c r="F41" i="6"/>
  <c r="L45" i="6"/>
  <c r="F50" i="6"/>
  <c r="J44" i="6"/>
  <c r="G44" i="6"/>
  <c r="N45" i="6"/>
  <c r="G52" i="6"/>
  <c r="H40" i="6"/>
  <c r="D48" i="6"/>
  <c r="F42" i="6"/>
  <c r="N48" i="6"/>
  <c r="K45" i="6"/>
  <c r="O45" i="6"/>
  <c r="E40" i="6"/>
  <c r="H48" i="6"/>
  <c r="K48" i="6"/>
  <c r="L50" i="6"/>
  <c r="O44" i="6"/>
  <c r="E42" i="6"/>
  <c r="D45" i="6"/>
  <c r="K50" i="6"/>
  <c r="J40" i="6"/>
  <c r="D40" i="6"/>
  <c r="K43" i="6"/>
  <c r="G49" i="6"/>
  <c r="E48" i="6"/>
  <c r="J50" i="6"/>
  <c r="F47" i="6"/>
  <c r="F39" i="6"/>
  <c r="N46" i="6"/>
  <c r="E50" i="6"/>
  <c r="G50" i="6"/>
  <c r="L40" i="6"/>
  <c r="L42" i="6"/>
  <c r="H47" i="6"/>
  <c r="L49" i="6"/>
  <c r="K41" i="6"/>
  <c r="G48" i="6"/>
  <c r="O40" i="6"/>
  <c r="O39" i="6"/>
  <c r="K39" i="6"/>
  <c r="D6" i="8"/>
  <c r="E18" i="8" l="1"/>
  <c r="H18" i="8" s="1"/>
  <c r="E17" i="8"/>
  <c r="H17" i="8" s="1"/>
  <c r="E13" i="8"/>
  <c r="H13" i="8" s="1"/>
  <c r="E5" i="8"/>
  <c r="H5" i="8" s="1"/>
  <c r="E11" i="8"/>
  <c r="H11" i="8" s="1"/>
  <c r="E16" i="8"/>
  <c r="H16" i="8" s="1"/>
  <c r="E14" i="8"/>
  <c r="H14" i="8" s="1"/>
  <c r="E10" i="8"/>
  <c r="H10" i="8" s="1"/>
  <c r="E8" i="8"/>
  <c r="H8" i="8" s="1"/>
  <c r="E9" i="8"/>
  <c r="H9" i="8" s="1"/>
  <c r="E6" i="8"/>
  <c r="H6" i="8" s="1"/>
  <c r="E12" i="8"/>
  <c r="H12" i="8" s="1"/>
  <c r="E15" i="8"/>
  <c r="H15" i="8" s="1"/>
  <c r="E7" i="8"/>
  <c r="H7" i="8" s="1"/>
  <c r="O7" i="6"/>
  <c r="O10" i="6" s="1"/>
  <c r="O13" i="6" s="1"/>
  <c r="O15" i="6" l="1"/>
</calcChain>
</file>

<file path=xl/sharedStrings.xml><?xml version="1.0" encoding="utf-8"?>
<sst xmlns="http://schemas.openxmlformats.org/spreadsheetml/2006/main" count="315" uniqueCount="103">
  <si>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</si>
  <si>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</si>
  <si>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</si>
  <si>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</si>
  <si>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</si>
  <si>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</si>
  <si>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</si>
  <si>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</si>
  <si>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</si>
  <si>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</si>
  <si>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</si>
  <si>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</si>
  <si>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Eric</t>
  </si>
  <si>
    <t>Mary</t>
  </si>
  <si>
    <t>Ethel</t>
  </si>
  <si>
    <t>Isaac</t>
  </si>
  <si>
    <t>Ruth</t>
  </si>
  <si>
    <t>Eric.N</t>
  </si>
  <si>
    <t>Daniel</t>
  </si>
  <si>
    <t>Phanice</t>
  </si>
  <si>
    <t>Duncan</t>
  </si>
  <si>
    <t>Allan</t>
  </si>
  <si>
    <t>Amount</t>
  </si>
  <si>
    <t>period</t>
  </si>
  <si>
    <t>Total pay</t>
  </si>
  <si>
    <t>Monthly Income</t>
  </si>
  <si>
    <t>Individual total loans</t>
  </si>
  <si>
    <t>Monthly Savings/Contributions</t>
  </si>
  <si>
    <t>Monthly running/cummulative savings</t>
  </si>
  <si>
    <t>Statement of Cashflow</t>
  </si>
  <si>
    <t>As at 31 Dec 2025</t>
  </si>
  <si>
    <t>Bal b/f</t>
  </si>
  <si>
    <t>Total saving</t>
  </si>
  <si>
    <t>Total intrest income</t>
  </si>
  <si>
    <t>Fees/penalty income</t>
  </si>
  <si>
    <t>Less Admn Cost</t>
  </si>
  <si>
    <t>Dr.Member accounts</t>
  </si>
  <si>
    <t>Total income</t>
  </si>
  <si>
    <t>Bank Acc.Balance</t>
  </si>
  <si>
    <t>Deficit/Suplus</t>
  </si>
  <si>
    <t>Colince</t>
  </si>
  <si>
    <t xml:space="preserve">Monthly Loan Book </t>
  </si>
  <si>
    <t>Total savings</t>
  </si>
  <si>
    <t>Dividents</t>
  </si>
  <si>
    <t>Fees/penaltie</t>
  </si>
  <si>
    <t>Admni cost</t>
  </si>
  <si>
    <t>Take home</t>
  </si>
  <si>
    <t>FINAL TAKE HOME</t>
  </si>
  <si>
    <t>Eligibilty</t>
  </si>
  <si>
    <t>Monthly Member Dividend Earnings</t>
  </si>
  <si>
    <t>Monthly Member Proportionate share ratio</t>
  </si>
  <si>
    <t>WELFARE INCOME CALCULATIONS</t>
  </si>
  <si>
    <t>Casmir</t>
  </si>
  <si>
    <t>Florence</t>
  </si>
  <si>
    <t>Period</t>
  </si>
  <si>
    <t>Ann</t>
  </si>
  <si>
    <t>Salary</t>
  </si>
  <si>
    <t>loan</t>
  </si>
  <si>
    <t>repayment</t>
  </si>
  <si>
    <t>balance</t>
  </si>
  <si>
    <t>savings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</si>
  <si>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</si>
  <si>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</si>
  <si>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</si>
  <si>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</si>
  <si>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</si>
  <si>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</si>
  <si>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</si>
  <si>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</si>
  <si>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</si>
  <si>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</si>
  <si>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</si>
  <si>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</si>
  <si>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EXEPENDITURE</t>
  </si>
  <si>
    <t>INCOME SOURCE</t>
  </si>
  <si>
    <t>Rent</t>
  </si>
  <si>
    <t>Fees</t>
  </si>
  <si>
    <t>Transport</t>
  </si>
  <si>
    <t>Black tax</t>
  </si>
  <si>
    <t>Grocery</t>
  </si>
  <si>
    <t>utilities</t>
  </si>
  <si>
    <t>P.M pay</t>
  </si>
  <si>
    <t>Bal+ve,-ve</t>
  </si>
  <si>
    <t>Shoes</t>
  </si>
  <si>
    <t xml:space="preserve"> </t>
  </si>
  <si>
    <t>Membership</t>
  </si>
  <si>
    <t>Name</t>
  </si>
  <si>
    <t>Member NO.</t>
  </si>
  <si>
    <t>Contact</t>
  </si>
  <si>
    <t>Next Of Kin</t>
  </si>
  <si>
    <t>Kin Contact</t>
  </si>
  <si>
    <t>Savings</t>
  </si>
  <si>
    <t>Date</t>
  </si>
  <si>
    <t>Loans Input</t>
  </si>
  <si>
    <t>Loan Number</t>
  </si>
  <si>
    <t>Member Names</t>
  </si>
  <si>
    <t>Amount applied</t>
  </si>
  <si>
    <t>Montly Installments</t>
  </si>
  <si>
    <t>Amount Paid</t>
  </si>
  <si>
    <t>Disbursment Date</t>
  </si>
  <si>
    <t>Loan Balance</t>
  </si>
  <si>
    <t>Loan Status</t>
  </si>
  <si>
    <t>Total 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</si>
</sst>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8"/>
      <name val="Calibri"/>
      <family val="2"/>
      <charset val="1"/>
    </font>
    <font>
      <b/>
      <u val="double"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16"/>
      <color rgb="FF000000"/>
      <name val="Calibri"/>
      <family val="2"/>
      <charset val="1"/>
    </font>
    <font>
      <b/>
      <sz val="22"/>
      <color rgb="FF00206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theme="0"/>
      <name val="Calibri"/>
      <family val="2"/>
      <charset val="1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0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9"/>
      </left>
      <right/>
      <top/>
      <bottom style="medium">
        <color indexed="64"/>
      </bottom>
      <diagonal/>
    </border>
    <border>
      <left/>
      <right style="medium">
        <color theme="9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Protection="0"/>
  </cellStyleXfs>
  <cellXfs count="13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0" fillId="10" borderId="0" xfId="0" applyFill="1" applyProtection="1">
      <protection locked="0"/>
    </xf>
    <xf numFmtId="0" fontId="7" fillId="0" borderId="19" xfId="0" applyFont="1" applyBorder="1" applyProtection="1">
      <protection locked="0"/>
    </xf>
    <xf numFmtId="0" fontId="7" fillId="0" borderId="20" xfId="0" applyFont="1" applyBorder="1" applyProtection="1">
      <protection locked="0"/>
    </xf>
    <xf numFmtId="0" fontId="7" fillId="0" borderId="0" xfId="0" applyFont="1" applyProtection="1">
      <protection locked="0"/>
    </xf>
    <xf numFmtId="0" fontId="7" fillId="0" borderId="22" xfId="0" applyFont="1" applyBorder="1" applyProtection="1">
      <protection locked="0"/>
    </xf>
    <xf numFmtId="0" fontId="7" fillId="3" borderId="21" xfId="0" applyFont="1" applyFill="1" applyBorder="1" applyProtection="1">
      <protection locked="0"/>
    </xf>
    <xf numFmtId="0" fontId="7" fillId="3" borderId="23" xfId="0" applyFont="1" applyFill="1" applyBorder="1" applyProtection="1">
      <protection locked="0"/>
    </xf>
    <xf numFmtId="0" fontId="7" fillId="5" borderId="0" xfId="0" applyFont="1" applyFill="1" applyProtection="1">
      <protection locked="0"/>
    </xf>
    <xf numFmtId="0" fontId="7" fillId="5" borderId="22" xfId="0" applyFont="1" applyFill="1" applyBorder="1" applyProtection="1">
      <protection locked="0"/>
    </xf>
    <xf numFmtId="0" fontId="7" fillId="0" borderId="24" xfId="0" applyFont="1" applyBorder="1" applyProtection="1">
      <protection locked="0"/>
    </xf>
    <xf numFmtId="0" fontId="7" fillId="0" borderId="25" xfId="0" applyFont="1" applyBorder="1" applyProtection="1">
      <protection locked="0"/>
    </xf>
    <xf numFmtId="0" fontId="7" fillId="3" borderId="13" xfId="0" applyFont="1" applyFill="1" applyBorder="1" applyProtection="1">
      <protection locked="0"/>
    </xf>
    <xf numFmtId="0" fontId="7" fillId="0" borderId="14" xfId="0" applyFont="1" applyBorder="1" applyProtection="1">
      <protection locked="0"/>
    </xf>
    <xf numFmtId="0" fontId="7" fillId="3" borderId="15" xfId="0" applyFont="1" applyFill="1" applyBorder="1" applyProtection="1">
      <protection locked="0"/>
    </xf>
    <xf numFmtId="0" fontId="7" fillId="0" borderId="13" xfId="0" applyFont="1" applyBorder="1" applyProtection="1">
      <protection locked="0"/>
    </xf>
    <xf numFmtId="0" fontId="8" fillId="0" borderId="0" xfId="0" applyFont="1" applyProtection="1">
      <protection locked="0"/>
    </xf>
    <xf numFmtId="0" fontId="7" fillId="3" borderId="5" xfId="0" applyFont="1" applyFill="1" applyBorder="1" applyProtection="1">
      <protection locked="0"/>
    </xf>
    <xf numFmtId="0" fontId="7" fillId="0" borderId="5" xfId="0" applyFont="1" applyBorder="1" applyProtection="1">
      <protection locked="0"/>
    </xf>
    <xf numFmtId="0" fontId="7" fillId="5" borderId="6" xfId="0" applyFont="1" applyFill="1" applyBorder="1" applyProtection="1">
      <protection locked="0"/>
    </xf>
    <xf numFmtId="0" fontId="7" fillId="0" borderId="6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7" fillId="5" borderId="5" xfId="0" applyFont="1" applyFill="1" applyBorder="1" applyProtection="1">
      <protection locked="0"/>
    </xf>
    <xf numFmtId="0" fontId="7" fillId="3" borderId="0" xfId="0" applyFont="1" applyFill="1" applyProtection="1">
      <protection locked="0"/>
    </xf>
    <xf numFmtId="0" fontId="7" fillId="3" borderId="6" xfId="0" applyFont="1" applyFill="1" applyBorder="1" applyProtection="1">
      <protection locked="0"/>
    </xf>
    <xf numFmtId="2" fontId="7" fillId="0" borderId="5" xfId="0" applyNumberFormat="1" applyFont="1" applyBorder="1" applyProtection="1">
      <protection locked="0"/>
    </xf>
    <xf numFmtId="0" fontId="0" fillId="3" borderId="0" xfId="0" applyFill="1" applyProtection="1">
      <protection locked="0"/>
    </xf>
    <xf numFmtId="0" fontId="7" fillId="11" borderId="0" xfId="0" applyFont="1" applyFill="1" applyProtection="1">
      <protection locked="0"/>
    </xf>
    <xf numFmtId="0" fontId="7" fillId="9" borderId="0" xfId="0" applyFont="1" applyFill="1" applyProtection="1">
      <protection locked="0"/>
    </xf>
    <xf numFmtId="0" fontId="7" fillId="9" borderId="29" xfId="0" applyFont="1" applyFill="1" applyBorder="1" applyProtection="1">
      <protection locked="0"/>
    </xf>
    <xf numFmtId="0" fontId="7" fillId="9" borderId="30" xfId="0" applyFont="1" applyFill="1" applyBorder="1" applyProtection="1">
      <protection locked="0"/>
    </xf>
    <xf numFmtId="0" fontId="7" fillId="3" borderId="29" xfId="0" applyFont="1" applyFill="1" applyBorder="1" applyProtection="1">
      <protection locked="0"/>
    </xf>
    <xf numFmtId="0" fontId="7" fillId="3" borderId="31" xfId="0" applyFont="1" applyFill="1" applyBorder="1" applyProtection="1">
      <protection locked="0"/>
    </xf>
    <xf numFmtId="0" fontId="7" fillId="11" borderId="32" xfId="0" applyFont="1" applyFill="1" applyBorder="1" applyProtection="1">
      <protection locked="0"/>
    </xf>
    <xf numFmtId="0" fontId="8" fillId="6" borderId="12" xfId="0" applyFont="1" applyFill="1" applyBorder="1" applyProtection="1">
      <protection locked="0"/>
    </xf>
    <xf numFmtId="0" fontId="7" fillId="0" borderId="15" xfId="0" applyFont="1" applyBorder="1" applyProtection="1">
      <protection locked="0"/>
    </xf>
    <xf numFmtId="2" fontId="7" fillId="5" borderId="14" xfId="0" applyNumberFormat="1" applyFont="1" applyFill="1" applyBorder="1" applyProtection="1">
      <protection locked="0"/>
    </xf>
    <xf numFmtId="2" fontId="7" fillId="0" borderId="14" xfId="0" applyNumberFormat="1" applyFont="1" applyBorder="1" applyProtection="1">
      <protection locked="0"/>
    </xf>
    <xf numFmtId="0" fontId="7" fillId="0" borderId="17" xfId="0" applyFont="1" applyBorder="1" applyProtection="1">
      <protection locked="0"/>
    </xf>
    <xf numFmtId="0" fontId="7" fillId="0" borderId="0" xfId="0" applyFont="1"/>
    <xf numFmtId="0" fontId="7" fillId="6" borderId="14" xfId="0" applyFont="1" applyFill="1" applyBorder="1"/>
    <xf numFmtId="2" fontId="7" fillId="0" borderId="14" xfId="0" applyNumberFormat="1" applyFont="1" applyBorder="1"/>
    <xf numFmtId="2" fontId="3" fillId="0" borderId="14" xfId="0" applyNumberFormat="1" applyFont="1" applyBorder="1"/>
    <xf numFmtId="2" fontId="7" fillId="0" borderId="35" xfId="0" applyNumberFormat="1" applyFont="1" applyBorder="1"/>
    <xf numFmtId="2" fontId="7" fillId="0" borderId="17" xfId="0" applyNumberFormat="1" applyFont="1" applyBorder="1"/>
    <xf numFmtId="0" fontId="7" fillId="6" borderId="17" xfId="0" applyFont="1" applyFill="1" applyBorder="1"/>
    <xf numFmtId="2" fontId="7" fillId="0" borderId="0" xfId="0" applyNumberFormat="1" applyFont="1"/>
    <xf numFmtId="2" fontId="7" fillId="0" borderId="30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2" fontId="7" fillId="0" borderId="33" xfId="0" applyNumberFormat="1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22" xfId="0" applyFont="1" applyBorder="1"/>
    <xf numFmtId="0" fontId="7" fillId="0" borderId="24" xfId="0" applyFont="1" applyBorder="1"/>
    <xf numFmtId="0" fontId="7" fillId="0" borderId="25" xfId="0" applyFont="1" applyBorder="1"/>
    <xf numFmtId="0" fontId="0" fillId="6" borderId="0" xfId="0" applyFill="1"/>
    <xf numFmtId="0" fontId="0" fillId="4" borderId="0" xfId="0" applyFill="1"/>
    <xf numFmtId="0" fontId="0" fillId="12" borderId="0" xfId="0" applyFill="1"/>
    <xf numFmtId="0" fontId="0" fillId="10" borderId="0" xfId="0" applyFill="1"/>
    <xf numFmtId="0" fontId="0" fillId="13" borderId="0" xfId="0" applyFill="1"/>
    <xf numFmtId="0" fontId="9" fillId="5" borderId="0" xfId="0" applyFont="1" applyFill="1"/>
    <xf numFmtId="0" fontId="10" fillId="4" borderId="37" xfId="0" applyFont="1" applyFill="1" applyBorder="1"/>
    <xf numFmtId="0" fontId="10" fillId="4" borderId="36" xfId="0" applyFont="1" applyFill="1" applyBorder="1"/>
    <xf numFmtId="0" fontId="10" fillId="4" borderId="38" xfId="0" applyFont="1" applyFill="1" applyBorder="1"/>
    <xf numFmtId="14" fontId="10" fillId="4" borderId="36" xfId="0" applyNumberFormat="1" applyFont="1" applyFill="1" applyBorder="1"/>
    <xf numFmtId="0" fontId="10" fillId="4" borderId="39" xfId="0" applyFont="1" applyFill="1" applyBorder="1"/>
    <xf numFmtId="14" fontId="10" fillId="4" borderId="39" xfId="0" applyNumberFormat="1" applyFont="1" applyFill="1" applyBorder="1"/>
    <xf numFmtId="0" fontId="11" fillId="4" borderId="37" xfId="0" applyFont="1" applyFill="1" applyBorder="1"/>
    <xf numFmtId="0" fontId="11" fillId="4" borderId="36" xfId="0" applyFont="1" applyFill="1" applyBorder="1"/>
    <xf numFmtId="0" fontId="11" fillId="4" borderId="38" xfId="0" applyFont="1" applyFill="1" applyBorder="1"/>
    <xf numFmtId="14" fontId="11" fillId="4" borderId="36" xfId="0" applyNumberFormat="1" applyFont="1" applyFill="1" applyBorder="1"/>
    <xf numFmtId="14" fontId="11" fillId="4" borderId="38" xfId="0" applyNumberFormat="1" applyFont="1" applyFill="1" applyBorder="1"/>
    <xf numFmtId="0" fontId="11" fillId="4" borderId="2" xfId="0" applyFont="1" applyFill="1" applyBorder="1"/>
    <xf numFmtId="0" fontId="11" fillId="4" borderId="4" xfId="0" applyFont="1" applyFill="1" applyBorder="1"/>
    <xf numFmtId="0" fontId="11" fillId="4" borderId="5" xfId="0" applyFont="1" applyFill="1" applyBorder="1"/>
    <xf numFmtId="0" fontId="11" fillId="4" borderId="6" xfId="0" applyFont="1" applyFill="1" applyBorder="1"/>
    <xf numFmtId="0" fontId="9" fillId="0" borderId="0" xfId="0" applyFont="1"/>
    <xf numFmtId="0" fontId="13" fillId="4" borderId="0" xfId="0" applyFont="1" applyFill="1" applyAlignment="1">
      <alignment horizontal="center" textRotation="90" wrapText="1"/>
    </xf>
    <xf numFmtId="0" fontId="4" fillId="4" borderId="19" xfId="0" applyFont="1" applyFill="1" applyBorder="1" applyAlignment="1" applyProtection="1">
      <alignment horizontal="center"/>
      <protection locked="0"/>
    </xf>
    <xf numFmtId="0" fontId="4" fillId="4" borderId="20" xfId="0" applyFont="1" applyFill="1" applyBorder="1" applyAlignment="1" applyProtection="1">
      <alignment horizontal="center"/>
      <protection locked="0"/>
    </xf>
    <xf numFmtId="0" fontId="7" fillId="4" borderId="0" xfId="0" applyFont="1" applyFill="1" applyAlignment="1" applyProtection="1">
      <alignment horizontal="center"/>
      <protection locked="0"/>
    </xf>
    <xf numFmtId="0" fontId="7" fillId="4" borderId="22" xfId="0" applyFont="1" applyFill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9" fillId="4" borderId="0" xfId="0" applyFont="1" applyFill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4" fillId="7" borderId="2" xfId="0" applyFont="1" applyFill="1" applyBorder="1" applyAlignment="1" applyProtection="1">
      <alignment horizontal="center"/>
      <protection locked="0"/>
    </xf>
    <xf numFmtId="0" fontId="4" fillId="7" borderId="3" xfId="0" applyFont="1" applyFill="1" applyBorder="1" applyAlignment="1" applyProtection="1">
      <alignment horizontal="center"/>
      <protection locked="0"/>
    </xf>
    <xf numFmtId="0" fontId="4" fillId="7" borderId="4" xfId="0" applyFont="1" applyFill="1" applyBorder="1" applyAlignment="1" applyProtection="1">
      <alignment horizont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4" borderId="11" xfId="0" applyFont="1" applyFill="1" applyBorder="1" applyAlignment="1" applyProtection="1">
      <alignment horizontal="center"/>
      <protection locked="0"/>
    </xf>
    <xf numFmtId="0" fontId="4" fillId="4" borderId="12" xfId="0" applyFont="1" applyFill="1" applyBorder="1" applyAlignment="1" applyProtection="1">
      <alignment horizontal="center"/>
      <protection locked="0"/>
    </xf>
    <xf numFmtId="0" fontId="7" fillId="0" borderId="0" xfId="0" applyFont="1"/>
    <xf numFmtId="0" fontId="7" fillId="0" borderId="34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7" fillId="0" borderId="16" xfId="0" applyFont="1" applyBorder="1" applyProtection="1">
      <protection locked="0"/>
    </xf>
    <xf numFmtId="0" fontId="7" fillId="0" borderId="16" xfId="0" applyFont="1" applyBorder="1"/>
    <xf numFmtId="0" fontId="6" fillId="8" borderId="2" xfId="0" applyFont="1" applyFill="1" applyBorder="1" applyAlignment="1" applyProtection="1">
      <alignment horizontal="center"/>
      <protection locked="0"/>
    </xf>
    <xf numFmtId="0" fontId="6" fillId="8" borderId="3" xfId="0" applyFont="1" applyFill="1" applyBorder="1" applyAlignment="1" applyProtection="1">
      <alignment horizontal="center"/>
      <protection locked="0"/>
    </xf>
    <xf numFmtId="0" fontId="6" fillId="8" borderId="4" xfId="0" applyFont="1" applyFill="1" applyBorder="1" applyAlignment="1" applyProtection="1">
      <alignment horizontal="center"/>
      <protection locked="0"/>
    </xf>
    <xf numFmtId="0" fontId="6" fillId="8" borderId="5" xfId="0" applyFont="1" applyFill="1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0" fontId="6" fillId="8" borderId="6" xfId="0" applyFont="1" applyFill="1" applyBorder="1" applyAlignment="1" applyProtection="1">
      <alignment horizontal="center"/>
      <protection locked="0"/>
    </xf>
    <xf numFmtId="0" fontId="7" fillId="6" borderId="13" xfId="0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7" fillId="6" borderId="14" xfId="0" applyFont="1" applyFill="1" applyBorder="1" applyAlignment="1" applyProtection="1">
      <alignment horizontal="center"/>
      <protection locked="0"/>
    </xf>
    <xf numFmtId="0" fontId="7" fillId="0" borderId="13" xfId="0" applyFont="1" applyBorder="1" applyProtection="1">
      <protection locked="0"/>
    </xf>
    <xf numFmtId="0" fontId="7" fillId="0" borderId="0" xfId="0" applyFont="1" applyProtection="1">
      <protection locked="0"/>
    </xf>
    <xf numFmtId="0" fontId="8" fillId="4" borderId="10" xfId="0" applyFont="1" applyFill="1" applyBorder="1" applyAlignment="1" applyProtection="1">
      <alignment horizontal="center"/>
      <protection locked="0"/>
    </xf>
    <xf numFmtId="0" fontId="8" fillId="4" borderId="11" xfId="0" applyFont="1" applyFill="1" applyBorder="1" applyAlignment="1" applyProtection="1">
      <alignment horizontal="center"/>
      <protection locked="0"/>
    </xf>
    <xf numFmtId="0" fontId="8" fillId="4" borderId="12" xfId="0" applyFont="1" applyFill="1" applyBorder="1" applyAlignment="1" applyProtection="1">
      <alignment horizontal="center"/>
      <protection locked="0"/>
    </xf>
    <xf numFmtId="0" fontId="8" fillId="5" borderId="10" xfId="0" applyFont="1" applyFill="1" applyBorder="1" applyAlignment="1" applyProtection="1">
      <alignment horizontal="center"/>
      <protection locked="0"/>
    </xf>
    <xf numFmtId="0" fontId="8" fillId="5" borderId="11" xfId="0" applyFont="1" applyFill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4" borderId="26" xfId="0" applyFont="1" applyFill="1" applyBorder="1" applyAlignment="1" applyProtection="1">
      <alignment horizontal="center"/>
      <protection locked="0"/>
    </xf>
    <xf numFmtId="0" fontId="7" fillId="4" borderId="27" xfId="0" applyFont="1" applyFill="1" applyBorder="1" applyAlignment="1" applyProtection="1">
      <alignment horizontal="center"/>
      <protection locked="0"/>
    </xf>
    <xf numFmtId="0" fontId="7" fillId="4" borderId="28" xfId="0" applyFont="1" applyFill="1" applyBorder="1" applyAlignment="1" applyProtection="1">
      <alignment horizontal="center"/>
      <protection locked="0"/>
    </xf>
    <xf numFmtId="0" fontId="0" fillId="6" borderId="0" xfId="0" applyFill="1" applyAlignment="1">
      <alignment horizontal="center"/>
    </xf>
  </cellXfs>
  <cellStyles count="2">
    <cellStyle name="Excel Built-in Check Cell" xfId="1" xr:uid="{00000000-0005-0000-0000-000001000000}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indexed="64"/>
          <bgColor theme="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9"/>
        </patternFill>
      </fill>
      <alignment horizontal="center" vertical="bottom" textRotation="9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81D41A"/>
      <rgbColor rgb="FFFFC000"/>
      <rgbColor rgb="FFFF8000"/>
      <rgbColor rgb="FFFF6600"/>
      <rgbColor rgb="FF666699"/>
      <rgbColor rgb="FFA5A5A5"/>
      <rgbColor rgb="FF003366"/>
      <rgbColor rgb="FF00B050"/>
      <rgbColor rgb="FF003300"/>
      <rgbColor rgb="FF333300"/>
      <rgbColor rgb="FFC9211E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6974F9-F6D4-48A0-B203-5F279B4B1580}" name="Table2" displayName="Table2" ref="A2:E16" totalsRowShown="0" headerRowDxfId="6" dataDxfId="5">
  <autoFilter ref="A2:E16" xr:uid="{496974F9-F6D4-48A0-B203-5F279B4B158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68D82BA-F18F-4F16-A26E-6503C43EB7CB}" name="Name" dataDxfId="4"/>
    <tableColumn id="2" xr3:uid="{1E29EED9-B6CD-4D6A-B96C-299E8220E656}" name="Member NO." dataDxfId="3">
      <calculatedColumnFormula>IF(A3&lt;&gt;"","KAW-STAF-"&amp;TEXT(ROW()-2,"000"),"")</calculatedColumnFormula>
    </tableColumn>
    <tableColumn id="3" xr3:uid="{B0A237E6-5D3C-4C63-A41D-15A8B650689A}" name="Contact" dataDxfId="2"/>
    <tableColumn id="4" xr3:uid="{32CEDAB0-4680-4DD9-9165-BEA211A9D5C7}" name="Next Of Kin" dataDxfId="1"/>
    <tableColumn id="5" xr3:uid="{E8745FD5-0019-4CB9-9DAA-7F40C785E30F}" name="Kin Contact" dataDxfId="0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B307A-D360-4A52-9329-477986A63385}" name="Table3" displayName="Table3" ref="A1:J31" totalsRowShown="0" headerRowDxfId="7">
  <autoFilter ref="A1:J31" xr:uid="{FD6B307A-D360-4A52-9329-477986A633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D7B83AD-6FD0-4CD2-B8FF-F0A064B1C70D}" name="Disbursment Date"/>
    <tableColumn id="2" xr3:uid="{1C91A371-C8F9-42C9-9249-74E8E7D2D251}" name="Loan Number">
      <calculatedColumnFormula>IF(D2&lt;&gt;"","KAW-LN-"&amp;TEXT(ROW()-1,"000"),"")</calculatedColumnFormula>
    </tableColumn>
    <tableColumn id="3" xr3:uid="{BD4883DA-2F6A-44CC-A985-F241EB1DAF3C}" name="Member Names"/>
    <tableColumn id="4" xr3:uid="{1B59D62E-B9BB-4DFD-AC76-9111182999AD}" name="Amount applied"/>
    <tableColumn id="5" xr3:uid="{DCAAD683-1D53-4E75-976E-EBF13D6B71C1}" name="Period"/>
    <tableColumn id="6" xr3:uid="{E2E5DD31-F288-42B6-83BD-C934C7692266}" name="Total  Payable"/>
    <tableColumn id="7" xr3:uid="{F08868ED-2F23-479D-9BED-B863274F5748}" name="Montly Installments"/>
    <tableColumn id="8" xr3:uid="{AA06E64E-8502-4745-BA67-58E8A9DDAE3E}" name="Amount Paid"/>
    <tableColumn id="9" xr3:uid="{263F04D8-4A78-4AFE-937F-CD651193302D}" name="Loan Balance"/>
    <tableColumn id="10" xr3:uid="{FF172DED-80AA-493F-AB01-4A33066BD08E}" name="Loa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image" Target="../media/image1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AAC5-D7F9-4A9E-A3D8-DD0CA361494E}">
  <sheetPr>
    <tabColor rgb="FF92D050"/>
  </sheetPr>
  <dimension ref="A1:T35"/>
  <sheetViews>
    <sheetView tabSelected="1" workbookViewId="0">
      <pane ySplit="3" topLeftCell="A25" activePane="bottomLeft" state="frozen"/>
      <selection pane="bottomLeft" activeCell="O25" sqref="O25"/>
    </sheetView>
  </sheetViews>
  <sheetFormatPr defaultColWidth="8.77734375" defaultRowHeight="14.4" x14ac:dyDescent="0.3"/>
  <cols>
    <col min="1" max="3" width="8.77734375" style="2"/>
    <col min="4" max="16" width="8.77734375" style="1"/>
    <col min="17" max="20" width="8.77734375" style="2"/>
    <col min="21" max="16384" width="8.77734375" style="1"/>
  </cols>
  <sheetData>
    <row r="1" spans="4:16" ht="15" thickBot="1" x14ac:dyDescent="0.35"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4:16" ht="25.8" x14ac:dyDescent="0.5">
      <c r="D2" s="87"/>
      <c r="E2" s="83" t="s">
        <v>27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4"/>
    </row>
    <row r="3" spans="4:16" x14ac:dyDescent="0.3">
      <c r="D3" s="88"/>
      <c r="E3" s="11" t="s">
        <v>0</v>
      </c>
      <c r="F3" s="11" t="s">
        <v>1</v>
      </c>
      <c r="G3" s="11" t="s">
        <v>2</v>
      </c>
      <c r="H3" s="11" t="s">
        <v>3</v>
      </c>
      <c r="I3" s="11" t="s">
        <v>4</v>
      </c>
      <c r="J3" s="11" t="s">
        <v>5</v>
      </c>
      <c r="K3" s="11" t="s">
        <v>6</v>
      </c>
      <c r="L3" s="11" t="s">
        <v>7</v>
      </c>
      <c r="M3" s="11" t="s">
        <v>8</v>
      </c>
      <c r="N3" s="11" t="s">
        <v>9</v>
      </c>
      <c r="O3" s="11" t="s">
        <v>10</v>
      </c>
      <c r="P3" s="12" t="s">
        <v>11</v>
      </c>
    </row>
    <row r="4" spans="4:16" x14ac:dyDescent="0.3">
      <c r="D4" s="9" t="s">
        <v>12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4:16" x14ac:dyDescent="0.3">
      <c r="D5" s="9" t="s">
        <v>14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4:16" x14ac:dyDescent="0.3">
      <c r="D6" s="9" t="s">
        <v>13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4:16" x14ac:dyDescent="0.3">
      <c r="D7" s="9" t="s">
        <v>15</v>
      </c>
      <c r="E7" s="7">
        <v>20000</v>
      </c>
      <c r="F7" s="7">
        <v>10000</v>
      </c>
      <c r="G7" s="7">
        <v>13000</v>
      </c>
      <c r="H7" s="7">
        <v>20000</v>
      </c>
      <c r="I7" s="7">
        <v>7000</v>
      </c>
      <c r="J7" s="7">
        <v>8000</v>
      </c>
      <c r="K7" s="7">
        <v>7000</v>
      </c>
      <c r="L7" s="7">
        <v>2000</v>
      </c>
      <c r="M7" s="7">
        <v>2000</v>
      </c>
      <c r="N7" s="7"/>
      <c r="O7" s="7"/>
      <c r="P7" s="8"/>
    </row>
    <row r="8" spans="4:16" x14ac:dyDescent="0.3">
      <c r="D8" s="9" t="s">
        <v>16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</row>
    <row r="9" spans="4:16" x14ac:dyDescent="0.3">
      <c r="D9" s="9" t="s">
        <v>17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8"/>
    </row>
    <row r="10" spans="4:16" x14ac:dyDescent="0.3">
      <c r="D10" s="9" t="s">
        <v>18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</row>
    <row r="11" spans="4:16" x14ac:dyDescent="0.3">
      <c r="D11" s="9" t="s">
        <v>52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spans="4:16" x14ac:dyDescent="0.3">
      <c r="D12" s="9" t="s">
        <v>19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</row>
    <row r="13" spans="4:16" x14ac:dyDescent="0.3">
      <c r="D13" s="9" t="s">
        <v>20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4:16" x14ac:dyDescent="0.3">
      <c r="D14" s="9" t="s">
        <v>21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</row>
    <row r="15" spans="4:16" x14ac:dyDescent="0.3">
      <c r="D15" s="9" t="s">
        <v>40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</row>
    <row r="16" spans="4:16" x14ac:dyDescent="0.3">
      <c r="D16" s="9" t="s">
        <v>53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</row>
    <row r="17" spans="4:16" ht="15" thickBot="1" x14ac:dyDescent="0.35">
      <c r="D17" s="10" t="s">
        <v>55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</row>
    <row r="18" spans="4:16" ht="15" thickBot="1" x14ac:dyDescent="0.35">
      <c r="D18" s="4"/>
    </row>
    <row r="19" spans="4:16" x14ac:dyDescent="0.3">
      <c r="D19" s="8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</row>
    <row r="20" spans="4:16" x14ac:dyDescent="0.3">
      <c r="D20" s="88"/>
      <c r="E20" s="85" t="s">
        <v>28</v>
      </c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6"/>
    </row>
    <row r="21" spans="4:16" x14ac:dyDescent="0.3">
      <c r="D21" s="88"/>
      <c r="E21" s="11" t="s">
        <v>0</v>
      </c>
      <c r="F21" s="11" t="s">
        <v>1</v>
      </c>
      <c r="G21" s="11" t="s">
        <v>2</v>
      </c>
      <c r="H21" s="11" t="s">
        <v>3</v>
      </c>
      <c r="I21" s="11" t="s">
        <v>4</v>
      </c>
      <c r="J21" s="11" t="s">
        <v>5</v>
      </c>
      <c r="K21" s="11" t="s">
        <v>6</v>
      </c>
      <c r="L21" s="11" t="s">
        <v>7</v>
      </c>
      <c r="M21" s="11" t="s">
        <v>8</v>
      </c>
      <c r="N21" s="11" t="s">
        <v>9</v>
      </c>
      <c r="O21" s="11" t="s">
        <v>10</v>
      </c>
      <c r="P21" s="12" t="s">
        <v>11</v>
      </c>
    </row>
    <row r="22" spans="4:16" x14ac:dyDescent="0.3">
      <c r="D22" s="9" t="s">
        <v>12</v>
      </c>
      <c r="E22" s="42">
        <f t="shared" ref="E22:E35" si="0">E4</f>
        <v>0</v>
      </c>
      <c r="F22" s="42">
        <f t="shared" ref="F22:P22" si="1">SUM(E22,F4)</f>
        <v>0</v>
      </c>
      <c r="G22" s="42">
        <f t="shared" si="1"/>
        <v>0</v>
      </c>
      <c r="H22" s="42">
        <f t="shared" si="1"/>
        <v>0</v>
      </c>
      <c r="I22" s="42">
        <f t="shared" si="1"/>
        <v>0</v>
      </c>
      <c r="J22" s="42">
        <f t="shared" si="1"/>
        <v>0</v>
      </c>
      <c r="K22" s="42">
        <f t="shared" si="1"/>
        <v>0</v>
      </c>
      <c r="L22" s="42">
        <f t="shared" si="1"/>
        <v>0</v>
      </c>
      <c r="M22" s="42">
        <f t="shared" si="1"/>
        <v>0</v>
      </c>
      <c r="N22" s="42">
        <f t="shared" si="1"/>
        <v>0</v>
      </c>
      <c r="O22" s="42">
        <f t="shared" si="1"/>
        <v>0</v>
      </c>
      <c r="P22" s="57">
        <f t="shared" si="1"/>
        <v>0</v>
      </c>
    </row>
    <row r="23" spans="4:16" x14ac:dyDescent="0.3">
      <c r="D23" s="9" t="s">
        <v>14</v>
      </c>
      <c r="E23" s="42">
        <f t="shared" si="0"/>
        <v>0</v>
      </c>
      <c r="F23" s="42">
        <f t="shared" ref="F23:P23" si="2">SUM(E23,F5)</f>
        <v>0</v>
      </c>
      <c r="G23" s="42">
        <f t="shared" si="2"/>
        <v>0</v>
      </c>
      <c r="H23" s="42">
        <f t="shared" si="2"/>
        <v>0</v>
      </c>
      <c r="I23" s="42">
        <f t="shared" si="2"/>
        <v>0</v>
      </c>
      <c r="J23" s="42">
        <f t="shared" si="2"/>
        <v>0</v>
      </c>
      <c r="K23" s="42">
        <f t="shared" si="2"/>
        <v>0</v>
      </c>
      <c r="L23" s="42">
        <f t="shared" si="2"/>
        <v>0</v>
      </c>
      <c r="M23" s="42">
        <f t="shared" si="2"/>
        <v>0</v>
      </c>
      <c r="N23" s="42">
        <f t="shared" si="2"/>
        <v>0</v>
      </c>
      <c r="O23" s="42">
        <f t="shared" si="2"/>
        <v>0</v>
      </c>
      <c r="P23" s="57">
        <f t="shared" si="2"/>
        <v>0</v>
      </c>
    </row>
    <row r="24" spans="4:16" x14ac:dyDescent="0.3">
      <c r="D24" s="9" t="s">
        <v>13</v>
      </c>
      <c r="E24" s="42">
        <f t="shared" si="0"/>
        <v>0</v>
      </c>
      <c r="F24" s="42">
        <f t="shared" ref="F24:P24" si="3">SUM(E24,F6)</f>
        <v>0</v>
      </c>
      <c r="G24" s="42">
        <f t="shared" si="3"/>
        <v>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  <c r="N24" s="42">
        <f t="shared" si="3"/>
        <v>0</v>
      </c>
      <c r="O24" s="42">
        <f t="shared" si="3"/>
        <v>0</v>
      </c>
      <c r="P24" s="57">
        <f t="shared" si="3"/>
        <v>0</v>
      </c>
    </row>
    <row r="25" spans="4:16" x14ac:dyDescent="0.3">
      <c r="D25" s="9" t="s">
        <v>15</v>
      </c>
      <c r="E25" s="42">
        <f t="shared" si="0"/>
        <v>20000</v>
      </c>
      <c r="F25" s="42">
        <f t="shared" ref="F25:P25" si="4">SUM(E25,F7)</f>
        <v>30000</v>
      </c>
      <c r="G25" s="42">
        <f t="shared" si="4"/>
        <v>43000</v>
      </c>
      <c r="H25" s="42">
        <f t="shared" si="4"/>
        <v>63000</v>
      </c>
      <c r="I25" s="42">
        <f t="shared" si="4"/>
        <v>70000</v>
      </c>
      <c r="J25" s="42">
        <f t="shared" si="4"/>
        <v>78000</v>
      </c>
      <c r="K25" s="42">
        <f t="shared" si="4"/>
        <v>85000</v>
      </c>
      <c r="L25" s="42">
        <f t="shared" si="4"/>
        <v>87000</v>
      </c>
      <c r="M25" s="42">
        <f t="shared" si="4"/>
        <v>89000</v>
      </c>
      <c r="N25" s="42">
        <f t="shared" si="4"/>
        <v>89000</v>
      </c>
      <c r="O25" s="42">
        <f t="shared" si="4"/>
        <v>89000</v>
      </c>
      <c r="P25" s="57">
        <f t="shared" si="4"/>
        <v>89000</v>
      </c>
    </row>
    <row r="26" spans="4:16" x14ac:dyDescent="0.3">
      <c r="D26" s="9" t="s">
        <v>16</v>
      </c>
      <c r="E26" s="42">
        <f t="shared" si="0"/>
        <v>0</v>
      </c>
      <c r="F26" s="42">
        <f t="shared" ref="F26:P26" si="5">SUM(E26,F8)</f>
        <v>0</v>
      </c>
      <c r="G26" s="42">
        <f t="shared" si="5"/>
        <v>0</v>
      </c>
      <c r="H26" s="42">
        <f t="shared" si="5"/>
        <v>0</v>
      </c>
      <c r="I26" s="42">
        <f t="shared" si="5"/>
        <v>0</v>
      </c>
      <c r="J26" s="42">
        <f t="shared" si="5"/>
        <v>0</v>
      </c>
      <c r="K26" s="42">
        <f t="shared" si="5"/>
        <v>0</v>
      </c>
      <c r="L26" s="42">
        <f t="shared" si="5"/>
        <v>0</v>
      </c>
      <c r="M26" s="42">
        <f t="shared" si="5"/>
        <v>0</v>
      </c>
      <c r="N26" s="42">
        <f t="shared" si="5"/>
        <v>0</v>
      </c>
      <c r="O26" s="42">
        <f t="shared" si="5"/>
        <v>0</v>
      </c>
      <c r="P26" s="57">
        <f t="shared" si="5"/>
        <v>0</v>
      </c>
    </row>
    <row r="27" spans="4:16" x14ac:dyDescent="0.3">
      <c r="D27" s="9" t="s">
        <v>17</v>
      </c>
      <c r="E27" s="42">
        <f t="shared" si="0"/>
        <v>0</v>
      </c>
      <c r="F27" s="42">
        <f t="shared" ref="F27:P27" si="6">SUM(E27,F9)</f>
        <v>0</v>
      </c>
      <c r="G27" s="42">
        <f t="shared" si="6"/>
        <v>0</v>
      </c>
      <c r="H27" s="42">
        <f t="shared" si="6"/>
        <v>0</v>
      </c>
      <c r="I27" s="42">
        <f t="shared" si="6"/>
        <v>0</v>
      </c>
      <c r="J27" s="42">
        <f t="shared" si="6"/>
        <v>0</v>
      </c>
      <c r="K27" s="42">
        <f t="shared" si="6"/>
        <v>0</v>
      </c>
      <c r="L27" s="42">
        <f t="shared" si="6"/>
        <v>0</v>
      </c>
      <c r="M27" s="42">
        <f t="shared" si="6"/>
        <v>0</v>
      </c>
      <c r="N27" s="42">
        <f t="shared" si="6"/>
        <v>0</v>
      </c>
      <c r="O27" s="42">
        <f t="shared" si="6"/>
        <v>0</v>
      </c>
      <c r="P27" s="57">
        <f t="shared" si="6"/>
        <v>0</v>
      </c>
    </row>
    <row r="28" spans="4:16" x14ac:dyDescent="0.3">
      <c r="D28" s="9" t="s">
        <v>18</v>
      </c>
      <c r="E28" s="42">
        <f t="shared" si="0"/>
        <v>0</v>
      </c>
      <c r="F28" s="42">
        <f t="shared" ref="F28:P28" si="7">SUM(E28,F10)</f>
        <v>0</v>
      </c>
      <c r="G28" s="42">
        <f t="shared" si="7"/>
        <v>0</v>
      </c>
      <c r="H28" s="42">
        <f t="shared" si="7"/>
        <v>0</v>
      </c>
      <c r="I28" s="42">
        <f t="shared" si="7"/>
        <v>0</v>
      </c>
      <c r="J28" s="42">
        <f t="shared" si="7"/>
        <v>0</v>
      </c>
      <c r="K28" s="42">
        <f t="shared" si="7"/>
        <v>0</v>
      </c>
      <c r="L28" s="42">
        <f t="shared" si="7"/>
        <v>0</v>
      </c>
      <c r="M28" s="42">
        <f t="shared" si="7"/>
        <v>0</v>
      </c>
      <c r="N28" s="42">
        <f t="shared" si="7"/>
        <v>0</v>
      </c>
      <c r="O28" s="42">
        <f t="shared" si="7"/>
        <v>0</v>
      </c>
      <c r="P28" s="57">
        <f t="shared" si="7"/>
        <v>0</v>
      </c>
    </row>
    <row r="29" spans="4:16" x14ac:dyDescent="0.3">
      <c r="D29" s="9" t="s">
        <v>52</v>
      </c>
      <c r="E29" s="42">
        <f t="shared" si="0"/>
        <v>0</v>
      </c>
      <c r="F29" s="42">
        <f t="shared" ref="F29:P29" si="8">SUM(E29,F11)</f>
        <v>0</v>
      </c>
      <c r="G29" s="42">
        <f t="shared" si="8"/>
        <v>0</v>
      </c>
      <c r="H29" s="42">
        <f t="shared" si="8"/>
        <v>0</v>
      </c>
      <c r="I29" s="42">
        <f t="shared" si="8"/>
        <v>0</v>
      </c>
      <c r="J29" s="42">
        <f t="shared" si="8"/>
        <v>0</v>
      </c>
      <c r="K29" s="42">
        <f t="shared" si="8"/>
        <v>0</v>
      </c>
      <c r="L29" s="42">
        <f t="shared" si="8"/>
        <v>0</v>
      </c>
      <c r="M29" s="42">
        <f t="shared" si="8"/>
        <v>0</v>
      </c>
      <c r="N29" s="42">
        <f t="shared" si="8"/>
        <v>0</v>
      </c>
      <c r="O29" s="42">
        <f t="shared" si="8"/>
        <v>0</v>
      </c>
      <c r="P29" s="57">
        <f t="shared" si="8"/>
        <v>0</v>
      </c>
    </row>
    <row r="30" spans="4:16" x14ac:dyDescent="0.3">
      <c r="D30" s="9" t="s">
        <v>19</v>
      </c>
      <c r="E30" s="42">
        <f t="shared" si="0"/>
        <v>0</v>
      </c>
      <c r="F30" s="42">
        <f t="shared" ref="F30:P30" si="9">SUM(E30,F12)</f>
        <v>0</v>
      </c>
      <c r="G30" s="42">
        <f t="shared" si="9"/>
        <v>0</v>
      </c>
      <c r="H30" s="42">
        <f t="shared" si="9"/>
        <v>0</v>
      </c>
      <c r="I30" s="42">
        <f t="shared" si="9"/>
        <v>0</v>
      </c>
      <c r="J30" s="42">
        <f t="shared" si="9"/>
        <v>0</v>
      </c>
      <c r="K30" s="42">
        <f t="shared" si="9"/>
        <v>0</v>
      </c>
      <c r="L30" s="42">
        <f t="shared" si="9"/>
        <v>0</v>
      </c>
      <c r="M30" s="42">
        <f t="shared" si="9"/>
        <v>0</v>
      </c>
      <c r="N30" s="42">
        <f t="shared" si="9"/>
        <v>0</v>
      </c>
      <c r="O30" s="42">
        <f t="shared" si="9"/>
        <v>0</v>
      </c>
      <c r="P30" s="57">
        <f t="shared" si="9"/>
        <v>0</v>
      </c>
    </row>
    <row r="31" spans="4:16" x14ac:dyDescent="0.3">
      <c r="D31" s="9" t="s">
        <v>20</v>
      </c>
      <c r="E31" s="42">
        <f t="shared" si="0"/>
        <v>0</v>
      </c>
      <c r="F31" s="42">
        <f t="shared" ref="F31:P31" si="10">SUM(E31,F13)</f>
        <v>0</v>
      </c>
      <c r="G31" s="42">
        <f t="shared" si="10"/>
        <v>0</v>
      </c>
      <c r="H31" s="42">
        <f t="shared" si="10"/>
        <v>0</v>
      </c>
      <c r="I31" s="42">
        <f t="shared" si="10"/>
        <v>0</v>
      </c>
      <c r="J31" s="42">
        <f t="shared" si="10"/>
        <v>0</v>
      </c>
      <c r="K31" s="42">
        <f t="shared" si="10"/>
        <v>0</v>
      </c>
      <c r="L31" s="42">
        <f t="shared" si="10"/>
        <v>0</v>
      </c>
      <c r="M31" s="42">
        <f t="shared" si="10"/>
        <v>0</v>
      </c>
      <c r="N31" s="42">
        <f t="shared" si="10"/>
        <v>0</v>
      </c>
      <c r="O31" s="42">
        <f t="shared" si="10"/>
        <v>0</v>
      </c>
      <c r="P31" s="57">
        <f t="shared" si="10"/>
        <v>0</v>
      </c>
    </row>
    <row r="32" spans="4:16" x14ac:dyDescent="0.3">
      <c r="D32" s="9" t="s">
        <v>21</v>
      </c>
      <c r="E32" s="42">
        <f t="shared" si="0"/>
        <v>0</v>
      </c>
      <c r="F32" s="42">
        <f t="shared" ref="F32:P32" si="11">SUM(E32,F14)</f>
        <v>0</v>
      </c>
      <c r="G32" s="42">
        <f t="shared" si="11"/>
        <v>0</v>
      </c>
      <c r="H32" s="42">
        <f t="shared" si="11"/>
        <v>0</v>
      </c>
      <c r="I32" s="42">
        <f t="shared" si="11"/>
        <v>0</v>
      </c>
      <c r="J32" s="42">
        <f t="shared" si="11"/>
        <v>0</v>
      </c>
      <c r="K32" s="42">
        <f t="shared" si="11"/>
        <v>0</v>
      </c>
      <c r="L32" s="42">
        <f t="shared" si="11"/>
        <v>0</v>
      </c>
      <c r="M32" s="42">
        <f t="shared" si="11"/>
        <v>0</v>
      </c>
      <c r="N32" s="42">
        <f t="shared" si="11"/>
        <v>0</v>
      </c>
      <c r="O32" s="42">
        <f t="shared" si="11"/>
        <v>0</v>
      </c>
      <c r="P32" s="57">
        <f t="shared" si="11"/>
        <v>0</v>
      </c>
    </row>
    <row r="33" spans="4:16" x14ac:dyDescent="0.3">
      <c r="D33" s="9" t="s">
        <v>40</v>
      </c>
      <c r="E33" s="42">
        <f t="shared" si="0"/>
        <v>0</v>
      </c>
      <c r="F33" s="42">
        <f t="shared" ref="F33:P33" si="12">SUM(E33,F15)</f>
        <v>0</v>
      </c>
      <c r="G33" s="42">
        <f t="shared" si="12"/>
        <v>0</v>
      </c>
      <c r="H33" s="42">
        <f t="shared" si="12"/>
        <v>0</v>
      </c>
      <c r="I33" s="42">
        <f t="shared" si="12"/>
        <v>0</v>
      </c>
      <c r="J33" s="42">
        <f t="shared" si="12"/>
        <v>0</v>
      </c>
      <c r="K33" s="42">
        <f t="shared" si="12"/>
        <v>0</v>
      </c>
      <c r="L33" s="42">
        <f t="shared" si="12"/>
        <v>0</v>
      </c>
      <c r="M33" s="42">
        <f t="shared" si="12"/>
        <v>0</v>
      </c>
      <c r="N33" s="42">
        <f t="shared" si="12"/>
        <v>0</v>
      </c>
      <c r="O33" s="42">
        <f t="shared" si="12"/>
        <v>0</v>
      </c>
      <c r="P33" s="57">
        <f t="shared" si="12"/>
        <v>0</v>
      </c>
    </row>
    <row r="34" spans="4:16" x14ac:dyDescent="0.3">
      <c r="D34" s="9" t="s">
        <v>53</v>
      </c>
      <c r="E34" s="42">
        <f t="shared" si="0"/>
        <v>0</v>
      </c>
      <c r="F34" s="42">
        <f>SUM(E34,F16)</f>
        <v>0</v>
      </c>
      <c r="G34" s="42">
        <f>SUM(F34,G16)</f>
        <v>0</v>
      </c>
      <c r="H34" s="42">
        <f t="shared" ref="H34:P34" si="13">SUM(G34,H16)</f>
        <v>0</v>
      </c>
      <c r="I34" s="42">
        <f t="shared" si="13"/>
        <v>0</v>
      </c>
      <c r="J34" s="42">
        <f t="shared" si="13"/>
        <v>0</v>
      </c>
      <c r="K34" s="42">
        <f t="shared" si="13"/>
        <v>0</v>
      </c>
      <c r="L34" s="42">
        <f t="shared" si="13"/>
        <v>0</v>
      </c>
      <c r="M34" s="42">
        <f t="shared" si="13"/>
        <v>0</v>
      </c>
      <c r="N34" s="42">
        <f t="shared" si="13"/>
        <v>0</v>
      </c>
      <c r="O34" s="42">
        <f t="shared" si="13"/>
        <v>0</v>
      </c>
      <c r="P34" s="42">
        <f t="shared" si="13"/>
        <v>0</v>
      </c>
    </row>
    <row r="35" spans="4:16" ht="15" thickBot="1" x14ac:dyDescent="0.35">
      <c r="D35" s="10" t="s">
        <v>55</v>
      </c>
      <c r="E35" s="58">
        <f t="shared" si="0"/>
        <v>0</v>
      </c>
      <c r="F35" s="58">
        <f t="shared" ref="F35:P35" si="14">SUM(E35,F17)</f>
        <v>0</v>
      </c>
      <c r="G35" s="58">
        <f t="shared" si="14"/>
        <v>0</v>
      </c>
      <c r="H35" s="58">
        <f t="shared" si="14"/>
        <v>0</v>
      </c>
      <c r="I35" s="58">
        <f t="shared" si="14"/>
        <v>0</v>
      </c>
      <c r="J35" s="58">
        <f t="shared" si="14"/>
        <v>0</v>
      </c>
      <c r="K35" s="58">
        <f t="shared" si="14"/>
        <v>0</v>
      </c>
      <c r="L35" s="58">
        <f t="shared" si="14"/>
        <v>0</v>
      </c>
      <c r="M35" s="58">
        <f t="shared" si="14"/>
        <v>0</v>
      </c>
      <c r="N35" s="58">
        <f t="shared" si="14"/>
        <v>0</v>
      </c>
      <c r="O35" s="58">
        <f t="shared" si="14"/>
        <v>0</v>
      </c>
      <c r="P35" s="59">
        <f t="shared" si="14"/>
        <v>0</v>
      </c>
    </row>
  </sheetData>
  <sheetProtection sheet="1" objects="1" scenarios="1"/>
  <mergeCells count="5">
    <mergeCell ref="E2:P2"/>
    <mergeCell ref="E20:P20"/>
    <mergeCell ref="D2:D3"/>
    <mergeCell ref="D19:D21"/>
    <mergeCell ref="D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B738-A624-43DB-B358-0C1769DC44D3}">
  <dimension ref="A1:E16"/>
  <sheetViews>
    <sheetView showGridLines="0" workbookViewId="0">
      <selection activeCell="D22" sqref="D22"/>
    </sheetView>
  </sheetViews>
  <sheetFormatPr defaultRowHeight="14.4" x14ac:dyDescent="0.3"/>
  <cols>
    <col min="1" max="1" width="12" customWidth="1"/>
    <col min="2" max="2" width="15.5546875" customWidth="1"/>
    <col min="3" max="3" width="14.33203125" customWidth="1"/>
    <col min="4" max="4" width="12.33203125" customWidth="1"/>
    <col min="5" max="5" width="12.5546875" customWidth="1"/>
  </cols>
  <sheetData>
    <row r="1" spans="1:5" x14ac:dyDescent="0.3">
      <c r="A1" s="90" t="s">
        <v>85</v>
      </c>
      <c r="B1" s="90"/>
      <c r="C1" s="90"/>
      <c r="D1" s="90"/>
      <c r="E1" s="90"/>
    </row>
    <row r="2" spans="1:5" x14ac:dyDescent="0.3">
      <c r="A2" s="65" t="s">
        <v>86</v>
      </c>
      <c r="B2" s="65" t="s">
        <v>87</v>
      </c>
      <c r="C2" s="65" t="s">
        <v>88</v>
      </c>
      <c r="D2" s="65" t="s">
        <v>89</v>
      </c>
      <c r="E2" s="65" t="s">
        <v>90</v>
      </c>
    </row>
    <row r="3" spans="1:5" x14ac:dyDescent="0.3">
      <c r="A3" s="81" t="s">
        <v>12</v>
      </c>
      <c r="B3" s="81" t="str">
        <f>IF(A3&lt;&gt;"","KAW-STAF-"&amp;TEXT(ROW()-2,"000"),"")</f>
        <v>KAW-STAF-001</v>
      </c>
      <c r="C3" s="81"/>
      <c r="D3" s="81"/>
      <c r="E3" s="81"/>
    </row>
    <row r="4" spans="1:5" x14ac:dyDescent="0.3">
      <c r="A4" s="81" t="s">
        <v>14</v>
      </c>
      <c r="B4" s="81" t="str">
        <f t="shared" ref="B4:B16" si="0">IF(A4&lt;&gt;"","KAW-STAF-"&amp;TEXT(ROW()-2,"000"),"")</f>
        <v>KAW-STAF-002</v>
      </c>
      <c r="C4" s="81"/>
      <c r="D4" s="81"/>
      <c r="E4" s="81"/>
    </row>
    <row r="5" spans="1:5" x14ac:dyDescent="0.3">
      <c r="A5" s="81" t="s">
        <v>13</v>
      </c>
      <c r="B5" s="81" t="str">
        <f t="shared" si="0"/>
        <v>KAW-STAF-003</v>
      </c>
      <c r="C5" s="81"/>
      <c r="D5" s="81"/>
      <c r="E5" s="81"/>
    </row>
    <row r="6" spans="1:5" x14ac:dyDescent="0.3">
      <c r="A6" s="81" t="s">
        <v>15</v>
      </c>
      <c r="B6" s="81" t="str">
        <f t="shared" si="0"/>
        <v>KAW-STAF-004</v>
      </c>
      <c r="C6" s="81"/>
      <c r="D6" s="81"/>
      <c r="E6" s="81"/>
    </row>
    <row r="7" spans="1:5" x14ac:dyDescent="0.3">
      <c r="A7" s="81" t="s">
        <v>16</v>
      </c>
      <c r="B7" s="81" t="str">
        <f t="shared" si="0"/>
        <v>KAW-STAF-005</v>
      </c>
      <c r="C7" s="81"/>
      <c r="D7" s="81"/>
      <c r="E7" s="81"/>
    </row>
    <row r="8" spans="1:5" x14ac:dyDescent="0.3">
      <c r="A8" s="81" t="s">
        <v>17</v>
      </c>
      <c r="B8" s="81" t="str">
        <f t="shared" si="0"/>
        <v>KAW-STAF-006</v>
      </c>
      <c r="C8" s="81"/>
      <c r="D8" s="81"/>
      <c r="E8" s="81"/>
    </row>
    <row r="9" spans="1:5" x14ac:dyDescent="0.3">
      <c r="A9" s="81" t="s">
        <v>18</v>
      </c>
      <c r="B9" s="81" t="str">
        <f t="shared" si="0"/>
        <v>KAW-STAF-007</v>
      </c>
      <c r="C9" s="81"/>
      <c r="D9" s="81"/>
      <c r="E9" s="81"/>
    </row>
    <row r="10" spans="1:5" x14ac:dyDescent="0.3">
      <c r="A10" s="81" t="s">
        <v>52</v>
      </c>
      <c r="B10" s="81" t="str">
        <f t="shared" si="0"/>
        <v>KAW-STAF-008</v>
      </c>
      <c r="C10" s="81"/>
      <c r="D10" s="81"/>
      <c r="E10" s="81"/>
    </row>
    <row r="11" spans="1:5" x14ac:dyDescent="0.3">
      <c r="A11" s="81" t="s">
        <v>19</v>
      </c>
      <c r="B11" s="81" t="str">
        <f t="shared" si="0"/>
        <v>KAW-STAF-009</v>
      </c>
      <c r="C11" s="81"/>
      <c r="D11" s="81"/>
      <c r="E11" s="81"/>
    </row>
    <row r="12" spans="1:5" x14ac:dyDescent="0.3">
      <c r="A12" s="81" t="s">
        <v>20</v>
      </c>
      <c r="B12" s="81" t="str">
        <f t="shared" si="0"/>
        <v>KAW-STAF-010</v>
      </c>
      <c r="C12" s="81"/>
      <c r="D12" s="81"/>
      <c r="E12" s="81"/>
    </row>
    <row r="13" spans="1:5" x14ac:dyDescent="0.3">
      <c r="A13" s="81" t="s">
        <v>21</v>
      </c>
      <c r="B13" s="81" t="str">
        <f t="shared" si="0"/>
        <v>KAW-STAF-011</v>
      </c>
      <c r="C13" s="81"/>
      <c r="D13" s="81"/>
      <c r="E13" s="81"/>
    </row>
    <row r="14" spans="1:5" x14ac:dyDescent="0.3">
      <c r="A14" s="81" t="s">
        <v>40</v>
      </c>
      <c r="B14" s="81" t="str">
        <f t="shared" si="0"/>
        <v>KAW-STAF-012</v>
      </c>
      <c r="C14" s="81"/>
      <c r="D14" s="81"/>
      <c r="E14" s="81"/>
    </row>
    <row r="15" spans="1:5" x14ac:dyDescent="0.3">
      <c r="A15" s="81" t="s">
        <v>53</v>
      </c>
      <c r="B15" s="81" t="str">
        <f t="shared" si="0"/>
        <v>KAW-STAF-013</v>
      </c>
      <c r="C15" s="81"/>
      <c r="D15" s="81"/>
      <c r="E15" s="81"/>
    </row>
    <row r="16" spans="1:5" x14ac:dyDescent="0.3">
      <c r="A16" s="81" t="s">
        <v>55</v>
      </c>
      <c r="B16" s="81" t="str">
        <f t="shared" si="0"/>
        <v>KAW-STAF-014</v>
      </c>
      <c r="C16" s="81"/>
      <c r="D16" s="81"/>
      <c r="E16" s="81"/>
    </row>
  </sheetData>
  <mergeCells count="1">
    <mergeCell ref="A1:E1"/>
  </mergeCells>
  <pageMargins left="0.7" right="0.7" top="0.75" bottom="0.75" header="0.3" footer="0.3"/>
  <picture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BD1E-DB6D-4103-959D-4F4AB7B026E8}">
  <dimension ref="A1:J33"/>
  <sheetViews>
    <sheetView workbookViewId="0">
      <selection activeCell="E8" sqref="E8"/>
    </sheetView>
  </sheetViews>
  <sheetFormatPr defaultRowHeight="14.4" x14ac:dyDescent="0.3"/>
  <cols>
    <col min="1" max="1" width="15.6640625" customWidth="1"/>
    <col min="2" max="2" width="27.88671875" customWidth="1"/>
    <col min="3" max="3" width="16.44140625" customWidth="1"/>
    <col min="4" max="4" width="11.6640625" customWidth="1"/>
    <col min="5" max="5" width="12.33203125" customWidth="1"/>
    <col min="6" max="6" width="10.77734375" customWidth="1"/>
    <col min="7" max="7" width="13.33203125" customWidth="1"/>
    <col min="8" max="8" width="10" customWidth="1"/>
    <col min="9" max="9" width="8.5546875" customWidth="1"/>
    <col min="10" max="10" width="7.44140625" customWidth="1"/>
  </cols>
  <sheetData>
    <row r="1" spans="1:10" ht="60" customHeight="1" x14ac:dyDescent="0.3">
      <c r="A1" s="82" t="s">
        <v>99</v>
      </c>
      <c r="B1" s="82" t="s">
        <v>94</v>
      </c>
      <c r="C1" s="82" t="s">
        <v>95</v>
      </c>
      <c r="D1" s="82" t="s">
        <v>96</v>
      </c>
      <c r="E1" s="82" t="s">
        <v>54</v>
      </c>
      <c r="F1" s="82" t="s">
        <v>102</v>
      </c>
      <c r="G1" s="82" t="s">
        <v>97</v>
      </c>
      <c r="H1" s="82" t="s">
        <v>98</v>
      </c>
      <c r="I1" s="82" t="s">
        <v>100</v>
      </c>
      <c r="J1" s="82" t="s">
        <v>101</v>
      </c>
    </row>
    <row r="2" spans="1:10" x14ac:dyDescent="0.3">
      <c r="B2" t="str">
        <f>IF(D2&lt;&gt;"","KAW-LN-"&amp;TEXT(ROW()-1,"000"),"")</f>
        <v>KAW-LN-001</v>
      </c>
      <c r="C2" t="s">
        <v>12</v>
      </c>
      <c r="D2">
        <v>51000</v>
      </c>
      <c r="E2">
        <v>2</v>
      </c>
      <c r="F2">
        <f>IF(D2&lt;=50000,D2*E2*0.05,D2*E2*0.04)+D2</f>
        <v>55080</v>
      </c>
      <c r="G2">
        <f>F2/E2</f>
        <v>27540</v>
      </c>
      <c r="H2">
        <v>27540</v>
      </c>
      <c r="I2">
        <f>G2-H2</f>
        <v>0</v>
      </c>
      <c r="J2" t="str">
        <f>IF(I2&gt;1,"Active","Paid")</f>
        <v>Paid</v>
      </c>
    </row>
    <row r="3" spans="1:10" x14ac:dyDescent="0.3">
      <c r="B3" t="str">
        <f t="shared" ref="B3:B33" si="0">IF(D3&lt;&gt;"","KAW-LN-"&amp;TEXT(ROW()-1,"000"),"")</f>
        <v>KAW-LN-002</v>
      </c>
      <c r="C3" t="s">
        <v>14</v>
      </c>
      <c r="D3">
        <v>9000</v>
      </c>
    </row>
    <row r="4" spans="1:10" x14ac:dyDescent="0.3">
      <c r="B4" t="str">
        <f t="shared" si="0"/>
        <v/>
      </c>
    </row>
    <row r="5" spans="1:10" x14ac:dyDescent="0.3">
      <c r="B5" t="str">
        <f t="shared" si="0"/>
        <v/>
      </c>
    </row>
    <row r="6" spans="1:10" x14ac:dyDescent="0.3">
      <c r="B6" t="str">
        <f t="shared" si="0"/>
        <v/>
      </c>
    </row>
    <row r="7" spans="1:10" x14ac:dyDescent="0.3">
      <c r="B7" t="str">
        <f t="shared" si="0"/>
        <v/>
      </c>
    </row>
    <row r="8" spans="1:10" x14ac:dyDescent="0.3">
      <c r="B8" t="str">
        <f t="shared" si="0"/>
        <v/>
      </c>
    </row>
    <row r="9" spans="1:10" x14ac:dyDescent="0.3">
      <c r="B9" t="str">
        <f t="shared" si="0"/>
        <v/>
      </c>
    </row>
    <row r="10" spans="1:10" x14ac:dyDescent="0.3">
      <c r="B10" t="str">
        <f t="shared" si="0"/>
        <v/>
      </c>
    </row>
    <row r="11" spans="1:10" x14ac:dyDescent="0.3">
      <c r="B11" t="str">
        <f t="shared" si="0"/>
        <v/>
      </c>
    </row>
    <row r="12" spans="1:10" x14ac:dyDescent="0.3">
      <c r="B12" t="str">
        <f t="shared" si="0"/>
        <v/>
      </c>
    </row>
    <row r="13" spans="1:10" x14ac:dyDescent="0.3">
      <c r="B13" t="str">
        <f t="shared" si="0"/>
        <v/>
      </c>
    </row>
    <row r="14" spans="1:10" x14ac:dyDescent="0.3">
      <c r="B14" t="str">
        <f t="shared" si="0"/>
        <v/>
      </c>
    </row>
    <row r="15" spans="1:10" x14ac:dyDescent="0.3">
      <c r="B15" t="str">
        <f t="shared" si="0"/>
        <v/>
      </c>
    </row>
    <row r="16" spans="1:10" x14ac:dyDescent="0.3">
      <c r="B16" t="str">
        <f t="shared" si="0"/>
        <v/>
      </c>
    </row>
    <row r="17" spans="2:2" x14ac:dyDescent="0.3">
      <c r="B17" t="str">
        <f t="shared" si="0"/>
        <v/>
      </c>
    </row>
    <row r="18" spans="2:2" x14ac:dyDescent="0.3">
      <c r="B18" t="str">
        <f t="shared" si="0"/>
        <v/>
      </c>
    </row>
    <row r="19" spans="2:2" x14ac:dyDescent="0.3">
      <c r="B19" t="str">
        <f t="shared" si="0"/>
        <v/>
      </c>
    </row>
    <row r="20" spans="2:2" x14ac:dyDescent="0.3">
      <c r="B20" t="str">
        <f t="shared" si="0"/>
        <v/>
      </c>
    </row>
    <row r="21" spans="2:2" x14ac:dyDescent="0.3">
      <c r="B21" t="str">
        <f t="shared" si="0"/>
        <v/>
      </c>
    </row>
    <row r="22" spans="2:2" x14ac:dyDescent="0.3">
      <c r="B22" t="str">
        <f t="shared" si="0"/>
        <v/>
      </c>
    </row>
    <row r="23" spans="2:2" x14ac:dyDescent="0.3">
      <c r="B23" t="str">
        <f t="shared" si="0"/>
        <v/>
      </c>
    </row>
    <row r="24" spans="2:2" x14ac:dyDescent="0.3">
      <c r="B24" t="str">
        <f t="shared" si="0"/>
        <v/>
      </c>
    </row>
    <row r="25" spans="2:2" x14ac:dyDescent="0.3">
      <c r="B25" t="str">
        <f t="shared" si="0"/>
        <v/>
      </c>
    </row>
    <row r="26" spans="2:2" x14ac:dyDescent="0.3">
      <c r="B26" t="str">
        <f t="shared" si="0"/>
        <v/>
      </c>
    </row>
    <row r="27" spans="2:2" x14ac:dyDescent="0.3">
      <c r="B27" t="str">
        <f t="shared" si="0"/>
        <v/>
      </c>
    </row>
    <row r="28" spans="2:2" x14ac:dyDescent="0.3">
      <c r="B28" t="str">
        <f t="shared" si="0"/>
        <v/>
      </c>
    </row>
    <row r="29" spans="2:2" x14ac:dyDescent="0.3">
      <c r="B29" t="str">
        <f t="shared" si="0"/>
        <v/>
      </c>
    </row>
    <row r="30" spans="2:2" x14ac:dyDescent="0.3">
      <c r="B30" t="str">
        <f t="shared" si="0"/>
        <v/>
      </c>
    </row>
    <row r="31" spans="2:2" x14ac:dyDescent="0.3">
      <c r="B31" t="str">
        <f t="shared" si="0"/>
        <v/>
      </c>
    </row>
    <row r="32" spans="2:2" x14ac:dyDescent="0.3">
      <c r="B32" t="str">
        <f t="shared" si="0"/>
        <v/>
      </c>
    </row>
    <row r="33" spans="2:2" x14ac:dyDescent="0.3">
      <c r="B33" t="str">
        <f t="shared" si="0"/>
        <v/>
      </c>
    </row>
  </sheetData>
  <dataValidations count="1">
    <dataValidation type="list" allowBlank="1" showInputMessage="1" showErrorMessage="1" sqref="E2" xr:uid="{01CADD46-3B5C-45F4-A7FE-53254D23FD13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B52411-978A-4FF3-8A17-24C7D7FE3B1F}">
          <x14:formula1>
            <xm:f>Membership!$A$2:$A$16</xm:f>
          </x14:formula1>
          <xm:sqref>C2:C3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12A9-4902-4329-BC28-7E69A55AE5A3}">
  <dimension ref="B1:H17"/>
  <sheetViews>
    <sheetView showGridLines="0" workbookViewId="0">
      <selection activeCell="K14" sqref="K14"/>
    </sheetView>
  </sheetViews>
  <sheetFormatPr defaultRowHeight="14.4" x14ac:dyDescent="0.3"/>
  <cols>
    <col min="2" max="2" width="13.21875" customWidth="1"/>
    <col min="3" max="3" width="24.21875" customWidth="1"/>
    <col min="7" max="7" width="18" customWidth="1"/>
    <col min="8" max="8" width="23" customWidth="1"/>
  </cols>
  <sheetData>
    <row r="1" spans="2:8" ht="15" thickBot="1" x14ac:dyDescent="0.35"/>
    <row r="2" spans="2:8" ht="18.600000000000001" thickBot="1" x14ac:dyDescent="0.4">
      <c r="B2" s="91" t="s">
        <v>91</v>
      </c>
      <c r="C2" s="92"/>
      <c r="G2" s="93" t="s">
        <v>93</v>
      </c>
      <c r="H2" s="94"/>
    </row>
    <row r="3" spans="2:8" ht="18.600000000000001" thickBot="1" x14ac:dyDescent="0.4">
      <c r="B3" s="72" t="s">
        <v>86</v>
      </c>
      <c r="C3" s="73"/>
      <c r="G3" s="66" t="s">
        <v>86</v>
      </c>
      <c r="H3" s="67"/>
    </row>
    <row r="4" spans="2:8" ht="18" x14ac:dyDescent="0.35">
      <c r="B4" s="74"/>
      <c r="C4" s="74"/>
      <c r="G4" s="68"/>
      <c r="H4" s="68"/>
    </row>
    <row r="5" spans="2:8" ht="18.600000000000001" thickBot="1" x14ac:dyDescent="0.4">
      <c r="B5" s="74"/>
      <c r="C5" s="74"/>
      <c r="G5" s="68"/>
      <c r="H5" s="68"/>
    </row>
    <row r="6" spans="2:8" ht="18.600000000000001" thickBot="1" x14ac:dyDescent="0.4">
      <c r="B6" s="74" t="s">
        <v>22</v>
      </c>
      <c r="C6" s="73">
        <v>2</v>
      </c>
      <c r="G6" s="68" t="s">
        <v>22</v>
      </c>
      <c r="H6" s="67">
        <v>787</v>
      </c>
    </row>
    <row r="7" spans="2:8" ht="18.600000000000001" thickBot="1" x14ac:dyDescent="0.4">
      <c r="B7" s="74"/>
      <c r="C7" s="74"/>
      <c r="G7" s="68"/>
      <c r="H7" s="68"/>
    </row>
    <row r="8" spans="2:8" ht="18.600000000000001" thickBot="1" x14ac:dyDescent="0.4">
      <c r="B8" s="74"/>
      <c r="C8" s="74"/>
      <c r="G8" s="68" t="s">
        <v>94</v>
      </c>
      <c r="H8" s="67"/>
    </row>
    <row r="9" spans="2:8" ht="18.600000000000001" thickBot="1" x14ac:dyDescent="0.4">
      <c r="B9" s="74" t="s">
        <v>92</v>
      </c>
      <c r="C9" s="75">
        <f ca="1">IF(C6&gt;1,TODAY()," ")</f>
        <v>46265</v>
      </c>
      <c r="G9" s="68"/>
      <c r="H9" s="68"/>
    </row>
    <row r="10" spans="2:8" ht="18.600000000000001" thickBot="1" x14ac:dyDescent="0.4">
      <c r="B10" s="74"/>
      <c r="C10" s="74"/>
      <c r="G10" s="68" t="s">
        <v>92</v>
      </c>
      <c r="H10" s="69">
        <f ca="1">IF(H6&gt;1,TODAY()," ")</f>
        <v>46265</v>
      </c>
    </row>
    <row r="11" spans="2:8" ht="18" x14ac:dyDescent="0.35">
      <c r="B11" s="74" t="s">
        <v>86</v>
      </c>
      <c r="C11" s="74">
        <f>C3</f>
        <v>0</v>
      </c>
      <c r="G11" s="68"/>
      <c r="H11" s="68"/>
    </row>
    <row r="12" spans="2:8" ht="18" x14ac:dyDescent="0.35">
      <c r="B12" s="74" t="s">
        <v>22</v>
      </c>
      <c r="C12" s="74">
        <f>C6</f>
        <v>2</v>
      </c>
      <c r="G12" s="68" t="s">
        <v>86</v>
      </c>
      <c r="H12" s="68">
        <f>H3</f>
        <v>0</v>
      </c>
    </row>
    <row r="13" spans="2:8" ht="18.600000000000001" thickBot="1" x14ac:dyDescent="0.4">
      <c r="B13" s="74" t="s">
        <v>92</v>
      </c>
      <c r="C13" s="76">
        <f ca="1">C9</f>
        <v>46265</v>
      </c>
      <c r="G13" s="68" t="s">
        <v>22</v>
      </c>
      <c r="H13" s="68">
        <f>H6</f>
        <v>787</v>
      </c>
    </row>
    <row r="14" spans="2:8" ht="18" x14ac:dyDescent="0.35">
      <c r="B14" s="77"/>
      <c r="C14" s="78"/>
      <c r="G14" s="68" t="s">
        <v>94</v>
      </c>
      <c r="H14" s="68">
        <f>H8</f>
        <v>0</v>
      </c>
    </row>
    <row r="15" spans="2:8" ht="18.600000000000001" thickBot="1" x14ac:dyDescent="0.4">
      <c r="B15" s="79"/>
      <c r="C15" s="80"/>
      <c r="G15" s="70" t="s">
        <v>92</v>
      </c>
      <c r="H15" s="71">
        <f ca="1">H10</f>
        <v>46265</v>
      </c>
    </row>
    <row r="16" spans="2:8" ht="18" customHeight="1" x14ac:dyDescent="0.3">
      <c r="B16" s="95"/>
      <c r="C16" s="96"/>
      <c r="G16" s="93"/>
      <c r="H16" s="94"/>
    </row>
    <row r="17" spans="2:8" ht="15" thickBot="1" x14ac:dyDescent="0.35">
      <c r="B17" s="97"/>
      <c r="C17" s="98"/>
      <c r="G17" s="99"/>
      <c r="H17" s="100"/>
    </row>
  </sheetData>
  <mergeCells count="4">
    <mergeCell ref="B2:C2"/>
    <mergeCell ref="G2:H2"/>
    <mergeCell ref="B16:C17"/>
    <mergeCell ref="G16:H17"/>
  </mergeCells>
  <pageMargins left="0.7" right="0.7" top="0.75" bottom="0.75" header="0.3" footer="0.3"/>
  <picture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5A1955-D4CF-48DF-B841-FC97D5626224}">
          <x14:formula1>
            <xm:f>Membership!$A$2:$A$16</xm:f>
          </x14:formula1>
          <xm:sqref>C3 H3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17D8-8576-4EBB-80C4-94A4223C9711}">
  <sheetPr>
    <tabColor rgb="FF00B0F0"/>
  </sheetPr>
  <dimension ref="B2:N63"/>
  <sheetViews>
    <sheetView workbookViewId="0">
      <pane ySplit="4" topLeftCell="A20" activePane="bottomLeft" state="frozen"/>
      <selection pane="bottomLeft" activeCell="D21" sqref="D21"/>
    </sheetView>
  </sheetViews>
  <sheetFormatPr defaultColWidth="8.77734375" defaultRowHeight="14.4" x14ac:dyDescent="0.3"/>
  <cols>
    <col min="1" max="16384" width="8.77734375" style="1"/>
  </cols>
  <sheetData>
    <row r="2" spans="2:14" ht="15" thickBot="1" x14ac:dyDescent="0.35"/>
    <row r="3" spans="2:14" ht="25.8" x14ac:dyDescent="0.5">
      <c r="B3" s="101" t="s">
        <v>41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3"/>
    </row>
    <row r="4" spans="2:14" x14ac:dyDescent="0.3">
      <c r="B4" s="25"/>
      <c r="C4" s="11" t="s">
        <v>0</v>
      </c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22" t="s">
        <v>11</v>
      </c>
    </row>
    <row r="5" spans="2:14" x14ac:dyDescent="0.3">
      <c r="B5" s="20" t="s">
        <v>12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</row>
    <row r="6" spans="2:14" x14ac:dyDescent="0.3">
      <c r="B6" s="28" t="s">
        <v>22</v>
      </c>
      <c r="C6" s="22"/>
      <c r="D6" s="22"/>
      <c r="E6" s="22"/>
      <c r="F6" s="22"/>
      <c r="G6" s="22"/>
      <c r="H6" s="22"/>
      <c r="I6" s="22"/>
      <c r="J6" s="22"/>
      <c r="K6" s="22"/>
      <c r="L6" s="22">
        <v>2</v>
      </c>
      <c r="M6" s="22"/>
      <c r="N6" s="22"/>
    </row>
    <row r="7" spans="2:14" x14ac:dyDescent="0.3">
      <c r="B7" s="28" t="s">
        <v>23</v>
      </c>
      <c r="C7" s="7">
        <v>2</v>
      </c>
      <c r="D7" s="7">
        <v>4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23">
        <v>0</v>
      </c>
    </row>
    <row r="8" spans="2:14" x14ac:dyDescent="0.3">
      <c r="B8" s="28" t="s">
        <v>24</v>
      </c>
      <c r="C8" s="42">
        <f>IF(C6&lt;=50000,C6*0.05*C7,C6*0.04*C7)</f>
        <v>0</v>
      </c>
      <c r="D8" s="42">
        <f>IF(D6&lt;=50000,D6*0.05*D7,D6*0.04*D7)</f>
        <v>0</v>
      </c>
      <c r="E8" s="42">
        <f t="shared" ref="E8:N8" si="0">IF(E6&lt;=50000,E6*0.05*E7,E6*0.04*E7)</f>
        <v>0</v>
      </c>
      <c r="F8" s="42">
        <f t="shared" si="0"/>
        <v>0</v>
      </c>
      <c r="G8" s="42">
        <f t="shared" si="0"/>
        <v>0</v>
      </c>
      <c r="H8" s="42">
        <f t="shared" si="0"/>
        <v>0</v>
      </c>
      <c r="I8" s="42">
        <f t="shared" si="0"/>
        <v>0</v>
      </c>
      <c r="J8" s="42">
        <f>IF(J6&lt;=50000,J6*0.05*J7,J6*0.04*J7)</f>
        <v>0</v>
      </c>
      <c r="K8" s="42">
        <f t="shared" si="0"/>
        <v>0</v>
      </c>
      <c r="L8" s="42">
        <f t="shared" si="0"/>
        <v>0</v>
      </c>
      <c r="M8" s="42">
        <f t="shared" si="0"/>
        <v>0</v>
      </c>
      <c r="N8" s="54">
        <f t="shared" si="0"/>
        <v>0</v>
      </c>
    </row>
    <row r="9" spans="2:14" x14ac:dyDescent="0.3">
      <c r="B9" s="20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spans="2:14" x14ac:dyDescent="0.3">
      <c r="B10" s="21" t="s">
        <v>22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2:14" x14ac:dyDescent="0.3">
      <c r="B11" s="21" t="s">
        <v>23</v>
      </c>
      <c r="C11" s="7">
        <v>3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3</v>
      </c>
      <c r="J11" s="7">
        <v>0</v>
      </c>
      <c r="K11" s="7">
        <v>0</v>
      </c>
      <c r="L11" s="7">
        <v>0</v>
      </c>
      <c r="M11" s="7">
        <v>0</v>
      </c>
      <c r="N11" s="23">
        <v>0</v>
      </c>
    </row>
    <row r="12" spans="2:14" x14ac:dyDescent="0.3">
      <c r="B12" s="21" t="s">
        <v>24</v>
      </c>
      <c r="C12" s="42">
        <f t="shared" ref="C12:N12" si="1">IF(C10&lt;=50000,C10*0.05*C11,C10*0.04*C11)</f>
        <v>0</v>
      </c>
      <c r="D12" s="42">
        <f t="shared" si="1"/>
        <v>0</v>
      </c>
      <c r="E12" s="42">
        <f t="shared" si="1"/>
        <v>0</v>
      </c>
      <c r="F12" s="42">
        <f t="shared" si="1"/>
        <v>0</v>
      </c>
      <c r="G12" s="42">
        <f t="shared" si="1"/>
        <v>0</v>
      </c>
      <c r="H12" s="42">
        <f t="shared" si="1"/>
        <v>0</v>
      </c>
      <c r="I12" s="42">
        <f t="shared" si="1"/>
        <v>0</v>
      </c>
      <c r="J12" s="42">
        <f t="shared" si="1"/>
        <v>0</v>
      </c>
      <c r="K12" s="42">
        <f t="shared" si="1"/>
        <v>0</v>
      </c>
      <c r="L12" s="42">
        <f t="shared" si="1"/>
        <v>0</v>
      </c>
      <c r="M12" s="42">
        <f t="shared" si="1"/>
        <v>0</v>
      </c>
      <c r="N12" s="54">
        <f t="shared" si="1"/>
        <v>0</v>
      </c>
    </row>
    <row r="13" spans="2:14" x14ac:dyDescent="0.3">
      <c r="B13" s="2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54"/>
    </row>
    <row r="14" spans="2:14" x14ac:dyDescent="0.3">
      <c r="B14" s="20" t="s">
        <v>13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</row>
    <row r="15" spans="2:14" x14ac:dyDescent="0.3">
      <c r="B15" s="21" t="s">
        <v>22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x14ac:dyDescent="0.3">
      <c r="B16" s="21" t="s">
        <v>23</v>
      </c>
      <c r="C16" s="7">
        <v>0</v>
      </c>
      <c r="D16" s="7">
        <v>3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5</v>
      </c>
      <c r="N16" s="23">
        <v>0</v>
      </c>
    </row>
    <row r="17" spans="2:14" x14ac:dyDescent="0.3">
      <c r="B17" s="21" t="s">
        <v>24</v>
      </c>
      <c r="C17" s="42">
        <f>IF(C15&lt;=50000,C15*0.05*C16,C15*0.04*C16)</f>
        <v>0</v>
      </c>
      <c r="D17" s="42">
        <f>IF(D15&lt;=50000,D15*0.05*D16,D15*0.04*D16)</f>
        <v>0</v>
      </c>
      <c r="E17" s="42">
        <f t="shared" ref="E17" si="2">IF(E15&lt;=50000,E15*0.05*E16,E15*0.04*E16)</f>
        <v>0</v>
      </c>
      <c r="F17" s="42">
        <f t="shared" ref="F17" si="3">IF(F15&lt;=50000,F15*0.05*F16,F15*0.04*F16)</f>
        <v>0</v>
      </c>
      <c r="G17" s="42">
        <f>IF(G15&lt;=50000,G15*0.05*G16,G15*0.04*G16)</f>
        <v>0</v>
      </c>
      <c r="H17" s="42">
        <f t="shared" ref="H17" si="4">IF(H15&lt;=50000,H15*0.05*H16,H15*0.04*H16)</f>
        <v>0</v>
      </c>
      <c r="I17" s="42">
        <f>IF(I15&lt;=50000,I15*0.05*I16,I15*0.04*I16)</f>
        <v>0</v>
      </c>
      <c r="J17" s="42">
        <f t="shared" ref="J17" si="5">IF(J15&lt;=50000,J15*0.05*J16,J15*0.04*J16)</f>
        <v>0</v>
      </c>
      <c r="K17" s="42">
        <f t="shared" ref="K17" si="6">IF(K15&lt;=50000,K15*0.05*K16,K15*0.04*K16)</f>
        <v>0</v>
      </c>
      <c r="L17" s="42">
        <f t="shared" ref="L17" si="7">IF(L15&lt;=50000,L15*0.05*L16,L15*0.04*L16)</f>
        <v>0</v>
      </c>
      <c r="M17" s="42">
        <f>IF(M15&lt;=50000,M15*0.05*M16,M15*0.04*M16)</f>
        <v>0</v>
      </c>
      <c r="N17" s="54">
        <f t="shared" ref="N17" si="8">IF(N15&lt;=50000,N15*0.05*N16,N15*0.04*N16)</f>
        <v>0</v>
      </c>
    </row>
    <row r="18" spans="2:14" x14ac:dyDescent="0.3">
      <c r="B18" s="2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54"/>
    </row>
    <row r="19" spans="2:14" x14ac:dyDescent="0.3">
      <c r="B19" s="20" t="s">
        <v>15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</row>
    <row r="20" spans="2:14" x14ac:dyDescent="0.3">
      <c r="B20" s="21" t="s">
        <v>22</v>
      </c>
      <c r="C20" s="22">
        <v>40000</v>
      </c>
      <c r="D20" s="22">
        <v>45000</v>
      </c>
      <c r="E20" s="22">
        <v>30000</v>
      </c>
      <c r="F20" s="22">
        <v>60000</v>
      </c>
      <c r="G20" s="22">
        <v>52000</v>
      </c>
      <c r="H20" s="22"/>
      <c r="I20" s="22">
        <v>50500</v>
      </c>
      <c r="J20" s="22">
        <v>50050</v>
      </c>
      <c r="K20" s="22"/>
      <c r="L20" s="22"/>
      <c r="M20" s="22"/>
      <c r="N20" s="22"/>
    </row>
    <row r="21" spans="2:14" x14ac:dyDescent="0.3">
      <c r="B21" s="21" t="s">
        <v>23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7">
        <v>2</v>
      </c>
      <c r="I21" s="7">
        <v>1</v>
      </c>
      <c r="J21" s="7">
        <v>1</v>
      </c>
      <c r="K21" s="7">
        <v>0</v>
      </c>
      <c r="L21" s="7">
        <v>2</v>
      </c>
      <c r="M21" s="7">
        <v>0</v>
      </c>
      <c r="N21" s="23">
        <v>0</v>
      </c>
    </row>
    <row r="22" spans="2:14" x14ac:dyDescent="0.3">
      <c r="B22" s="21" t="s">
        <v>24</v>
      </c>
      <c r="C22" s="42">
        <f>IF(C20&lt;=50000,C20*0.05*C21,C20*0.04*C21)</f>
        <v>2000</v>
      </c>
      <c r="D22" s="42">
        <f>IF(D20&lt;=50000,D20*0.05*D21,D20*0.04*D21)</f>
        <v>2250</v>
      </c>
      <c r="E22" s="42">
        <f t="shared" ref="E22" si="9">IF(E20&lt;=50000,E20*0.05*E21,E20*0.04*E21)</f>
        <v>1500</v>
      </c>
      <c r="F22" s="42">
        <f>IF(F20&lt;=50000,F20*0.05*F21,F20*0.04*F21)</f>
        <v>2400</v>
      </c>
      <c r="G22" s="42">
        <f t="shared" ref="G22" si="10">IF(G20&lt;=50000,G20*0.05*G21,G20*0.04*G21)</f>
        <v>2080</v>
      </c>
      <c r="H22" s="42">
        <f t="shared" ref="H22" si="11">IF(H20&lt;=50000,H20*0.05*H21,H20*0.04*H21)</f>
        <v>0</v>
      </c>
      <c r="I22" s="42">
        <f t="shared" ref="I22" si="12">IF(I20&lt;=50000,I20*0.05*I21,I20*0.04*I21)</f>
        <v>2020</v>
      </c>
      <c r="J22" s="42">
        <f t="shared" ref="J22" si="13">IF(J20&lt;=50000,J20*0.05*J21,J20*0.04*J21)</f>
        <v>2002</v>
      </c>
      <c r="K22" s="42">
        <f t="shared" ref="K22" si="14">IF(K20&lt;=50000,K20*0.05*K21,K20*0.04*K21)</f>
        <v>0</v>
      </c>
      <c r="L22" s="42">
        <f t="shared" ref="L22" si="15">IF(L20&lt;=50000,L20*0.05*L21,L20*0.04*L21)</f>
        <v>0</v>
      </c>
      <c r="M22" s="42">
        <f t="shared" ref="M22" si="16">IF(M20&lt;=50000,M20*0.05*M21,M20*0.04*M21)</f>
        <v>0</v>
      </c>
      <c r="N22" s="54">
        <f t="shared" ref="N22" si="17">IF(N20&lt;=50000,N20*0.05*N21,N20*0.04*N21)</f>
        <v>0</v>
      </c>
    </row>
    <row r="23" spans="2:14" x14ac:dyDescent="0.3">
      <c r="B23" s="21" t="s">
        <v>81</v>
      </c>
      <c r="C23" s="42">
        <f>IFERROR(SUM(C20,C22)/C21,0)</f>
        <v>42000</v>
      </c>
      <c r="D23" s="42">
        <f t="shared" ref="D23:N23" si="18">IFERROR(SUM(D20,D22)/D21,0)</f>
        <v>47250</v>
      </c>
      <c r="E23" s="42">
        <f t="shared" si="18"/>
        <v>31500</v>
      </c>
      <c r="F23" s="42">
        <f t="shared" si="18"/>
        <v>62400</v>
      </c>
      <c r="G23" s="42">
        <f t="shared" si="18"/>
        <v>54080</v>
      </c>
      <c r="H23" s="42">
        <f t="shared" si="18"/>
        <v>0</v>
      </c>
      <c r="I23" s="42">
        <f t="shared" si="18"/>
        <v>52520</v>
      </c>
      <c r="J23" s="42">
        <f t="shared" si="18"/>
        <v>52052</v>
      </c>
      <c r="K23" s="42">
        <f t="shared" si="18"/>
        <v>0</v>
      </c>
      <c r="L23" s="42">
        <f t="shared" si="18"/>
        <v>0</v>
      </c>
      <c r="M23" s="42">
        <f t="shared" si="18"/>
        <v>0</v>
      </c>
      <c r="N23" s="42">
        <f t="shared" si="18"/>
        <v>0</v>
      </c>
    </row>
    <row r="24" spans="2:14" x14ac:dyDescent="0.3">
      <c r="B24" s="20" t="s">
        <v>16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</row>
    <row r="25" spans="2:14" x14ac:dyDescent="0.3">
      <c r="B25" s="21" t="s">
        <v>22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2:14" x14ac:dyDescent="0.3">
      <c r="B26" s="21" t="s">
        <v>23</v>
      </c>
      <c r="C26" s="7">
        <v>0</v>
      </c>
      <c r="D26" s="7">
        <v>0</v>
      </c>
      <c r="E26" s="7">
        <v>2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23">
        <v>0</v>
      </c>
    </row>
    <row r="27" spans="2:14" x14ac:dyDescent="0.3">
      <c r="B27" s="21" t="s">
        <v>24</v>
      </c>
      <c r="C27" s="42">
        <f>IF(C25&lt;=50000,C25*0.05*C26,C25*0.04*C26)</f>
        <v>0</v>
      </c>
      <c r="D27" s="42">
        <f t="shared" ref="D27" si="19">IF(D25&lt;=50000,D25*0.05*D26,D25*0.04*D26)</f>
        <v>0</v>
      </c>
      <c r="E27" s="42">
        <f t="shared" ref="E27" si="20">IF(E25&lt;=50000,E25*0.05*E26,E25*0.04*E26)</f>
        <v>0</v>
      </c>
      <c r="F27" s="42">
        <f t="shared" ref="F27" si="21">IF(F25&lt;=50000,F25*0.05*F26,F25*0.04*F26)</f>
        <v>0</v>
      </c>
      <c r="G27" s="42">
        <f t="shared" ref="G27" si="22">IF(G25&lt;=50000,G25*0.05*G26,G25*0.04*G26)</f>
        <v>0</v>
      </c>
      <c r="H27" s="42">
        <f t="shared" ref="H27" si="23">IF(H25&lt;=50000,H25*0.05*H26,H25*0.04*H26)</f>
        <v>0</v>
      </c>
      <c r="I27" s="42">
        <f t="shared" ref="I27" si="24">IF(I25&lt;=50000,I25*0.05*I26,I25*0.04*I26)</f>
        <v>0</v>
      </c>
      <c r="J27" s="42">
        <f t="shared" ref="J27" si="25">IF(J25&lt;=50000,J25*0.05*J26,J25*0.04*J26)</f>
        <v>0</v>
      </c>
      <c r="K27" s="42">
        <f t="shared" ref="K27" si="26">IF(K25&lt;=50000,K25*0.05*K26,K25*0.04*K26)</f>
        <v>0</v>
      </c>
      <c r="L27" s="42">
        <f t="shared" ref="L27" si="27">IF(L25&lt;=50000,L25*0.05*L26,L25*0.04*L26)</f>
        <v>0</v>
      </c>
      <c r="M27" s="42">
        <f t="shared" ref="M27" si="28">IF(M25&lt;=50000,M25*0.05*M26,M25*0.04*M26)</f>
        <v>0</v>
      </c>
      <c r="N27" s="54">
        <f t="shared" ref="N27" si="29">IF(N25&lt;=50000,N25*0.05*N26,N25*0.04*N26)</f>
        <v>0</v>
      </c>
    </row>
    <row r="28" spans="2:14" x14ac:dyDescent="0.3">
      <c r="B28" s="20" t="s">
        <v>17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7"/>
    </row>
    <row r="29" spans="2:14" x14ac:dyDescent="0.3">
      <c r="B29" s="21" t="s">
        <v>22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2:14" x14ac:dyDescent="0.3">
      <c r="B30" s="21" t="s">
        <v>23</v>
      </c>
      <c r="C30" s="7">
        <v>0</v>
      </c>
      <c r="D30" s="7">
        <v>0</v>
      </c>
      <c r="E30" s="7">
        <v>5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23">
        <v>0</v>
      </c>
    </row>
    <row r="31" spans="2:14" x14ac:dyDescent="0.3">
      <c r="B31" s="21" t="s">
        <v>24</v>
      </c>
      <c r="C31" s="42">
        <f>IF(C29&lt;=50000,C29*0.05*C30,C29*0.04*C30)</f>
        <v>0</v>
      </c>
      <c r="D31" s="42">
        <f t="shared" ref="D31" si="30">IF(D29&lt;=50000,D29*0.05*D30,D29*0.04*D30)</f>
        <v>0</v>
      </c>
      <c r="E31" s="42">
        <f t="shared" ref="E31" si="31">IF(E29&lt;=50000,E29*0.05*E30,E29*0.04*E30)</f>
        <v>0</v>
      </c>
      <c r="F31" s="42">
        <f t="shared" ref="F31" si="32">IF(F29&lt;=50000,F29*0.05*F30,F29*0.04*F30)</f>
        <v>0</v>
      </c>
      <c r="G31" s="42">
        <f t="shared" ref="G31" si="33">IF(G29&lt;=50000,G29*0.05*G30,G29*0.04*G30)</f>
        <v>0</v>
      </c>
      <c r="H31" s="42">
        <f t="shared" ref="H31" si="34">IF(H29&lt;=50000,H29*0.05*H30,H29*0.04*H30)</f>
        <v>0</v>
      </c>
      <c r="I31" s="42">
        <f t="shared" ref="I31" si="35">IF(I29&lt;=50000,I29*0.05*I30,I29*0.04*I30)</f>
        <v>0</v>
      </c>
      <c r="J31" s="42">
        <f t="shared" ref="J31" si="36">IF(J29&lt;=50000,J29*0.05*J30,J29*0.04*J30)</f>
        <v>0</v>
      </c>
      <c r="K31" s="42">
        <f t="shared" ref="K31" si="37">IF(K29&lt;=50000,K29*0.05*K30,K29*0.04*K30)</f>
        <v>0</v>
      </c>
      <c r="L31" s="42">
        <f t="shared" ref="L31" si="38">IF(L29&lt;=50000,L29*0.05*L30,L29*0.04*L30)</f>
        <v>0</v>
      </c>
      <c r="M31" s="42">
        <f t="shared" ref="M31" si="39">IF(M29&lt;=50000,M29*0.05*M30,M29*0.04*M30)</f>
        <v>0</v>
      </c>
      <c r="N31" s="54">
        <f t="shared" ref="N31" si="40">IF(N29&lt;=50000,N29*0.05*N30,N29*0.04*N30)</f>
        <v>0</v>
      </c>
    </row>
    <row r="32" spans="2:14" x14ac:dyDescent="0.3">
      <c r="B32" s="20" t="s">
        <v>18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7"/>
    </row>
    <row r="33" spans="2:14" x14ac:dyDescent="0.3">
      <c r="B33" s="21" t="s">
        <v>22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2:14" x14ac:dyDescent="0.3">
      <c r="B34" s="21" t="s">
        <v>23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23">
        <v>0</v>
      </c>
    </row>
    <row r="35" spans="2:14" x14ac:dyDescent="0.3">
      <c r="B35" s="21" t="s">
        <v>24</v>
      </c>
      <c r="C35" s="42">
        <f>IF(C33&lt;=50000,C33*0.05*C34,C33*0.04*C34)</f>
        <v>0</v>
      </c>
      <c r="D35" s="42">
        <f t="shared" ref="D35" si="41">IF(D33&lt;=50000,D33*0.05*D34,D33*0.04*D34)</f>
        <v>0</v>
      </c>
      <c r="E35" s="42">
        <f t="shared" ref="E35" si="42">IF(E33&lt;=50000,E33*0.05*E34,E33*0.04*E34)</f>
        <v>0</v>
      </c>
      <c r="F35" s="42">
        <f t="shared" ref="F35" si="43">IF(F33&lt;=50000,F33*0.05*F34,F33*0.04*F34)</f>
        <v>0</v>
      </c>
      <c r="G35" s="42">
        <f t="shared" ref="G35" si="44">IF(G33&lt;=50000,G33*0.05*G34,G33*0.04*G34)</f>
        <v>0</v>
      </c>
      <c r="H35" s="42">
        <f t="shared" ref="H35" si="45">IF(H33&lt;=50000,H33*0.05*H34,H33*0.04*H34)</f>
        <v>0</v>
      </c>
      <c r="I35" s="42">
        <f t="shared" ref="I35" si="46">IF(I33&lt;=50000,I33*0.05*I34,I33*0.04*I34)</f>
        <v>0</v>
      </c>
      <c r="J35" s="42">
        <f t="shared" ref="J35" si="47">IF(J33&lt;=50000,J33*0.05*J34,J33*0.04*J34)</f>
        <v>0</v>
      </c>
      <c r="K35" s="42">
        <f t="shared" ref="K35" si="48">IF(K33&lt;=50000,K33*0.05*K34,K33*0.04*K34)</f>
        <v>0</v>
      </c>
      <c r="L35" s="42">
        <f t="shared" ref="L35" si="49">IF(L33&lt;=50000,L33*0.05*L34,L33*0.04*L34)</f>
        <v>0</v>
      </c>
      <c r="M35" s="42">
        <f t="shared" ref="M35" si="50">IF(M33&lt;=50000,M33*0.05*M34,M33*0.04*M34)</f>
        <v>0</v>
      </c>
      <c r="N35" s="54">
        <f t="shared" ref="N35" si="51">IF(N33&lt;=50000,N33*0.05*N34,N33*0.04*N34)</f>
        <v>0</v>
      </c>
    </row>
    <row r="36" spans="2:14" x14ac:dyDescent="0.3">
      <c r="B36" s="20" t="s">
        <v>52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</row>
    <row r="37" spans="2:14" x14ac:dyDescent="0.3">
      <c r="B37" s="21" t="s">
        <v>22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2:14" x14ac:dyDescent="0.3">
      <c r="B38" s="21" t="s">
        <v>23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1</v>
      </c>
      <c r="I38" s="7">
        <v>5</v>
      </c>
      <c r="J38" s="7">
        <v>0</v>
      </c>
      <c r="K38" s="7">
        <v>0</v>
      </c>
      <c r="L38" s="7">
        <v>0</v>
      </c>
      <c r="M38" s="7">
        <v>1</v>
      </c>
      <c r="N38" s="23">
        <v>0</v>
      </c>
    </row>
    <row r="39" spans="2:14" x14ac:dyDescent="0.3">
      <c r="B39" s="21" t="s">
        <v>24</v>
      </c>
      <c r="C39" s="42">
        <f>IF(C37&lt;=50000,C37*0.05*C38,C37*0.04*C38)</f>
        <v>0</v>
      </c>
      <c r="D39" s="42">
        <f t="shared" ref="D39" si="52">IF(D37&lt;=50000,D37*0.05*D38,D37*0.04*D38)</f>
        <v>0</v>
      </c>
      <c r="E39" s="42">
        <f t="shared" ref="E39" si="53">IF(E37&lt;=50000,E37*0.05*E38,E37*0.04*E38)</f>
        <v>0</v>
      </c>
      <c r="F39" s="42">
        <f t="shared" ref="F39" si="54">IF(F37&lt;=50000,F37*0.05*F38,F37*0.04*F38)</f>
        <v>0</v>
      </c>
      <c r="G39" s="42">
        <f t="shared" ref="G39" si="55">IF(G37&lt;=50000,G37*0.05*G38,G37*0.04*G38)</f>
        <v>0</v>
      </c>
      <c r="H39" s="42">
        <f t="shared" ref="H39" si="56">IF(H37&lt;=50000,H37*0.05*H38,H37*0.04*H38)</f>
        <v>0</v>
      </c>
      <c r="I39" s="42">
        <f t="shared" ref="I39" si="57">IF(I37&lt;=50000,I37*0.05*I38,I37*0.04*I38)</f>
        <v>0</v>
      </c>
      <c r="J39" s="42">
        <f t="shared" ref="J39" si="58">IF(J37&lt;=50000,J37*0.05*J38,J37*0.04*J38)</f>
        <v>0</v>
      </c>
      <c r="K39" s="42">
        <f t="shared" ref="K39" si="59">IF(K37&lt;=50000,K37*0.05*K38,K37*0.04*K38)</f>
        <v>0</v>
      </c>
      <c r="L39" s="42">
        <f t="shared" ref="L39" si="60">IF(L37&lt;=50000,L37*0.05*L38,L37*0.04*L38)</f>
        <v>0</v>
      </c>
      <c r="M39" s="42">
        <f t="shared" ref="M39" si="61">IF(M37&lt;=50000,M37*0.05*M38,M37*0.04*M38)</f>
        <v>0</v>
      </c>
      <c r="N39" s="54">
        <f t="shared" ref="N39" si="62">IF(N37&lt;=50000,N37*0.05*N38,N37*0.04*N38)</f>
        <v>0</v>
      </c>
    </row>
    <row r="40" spans="2:14" x14ac:dyDescent="0.3">
      <c r="B40" s="20" t="s">
        <v>19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7"/>
    </row>
    <row r="41" spans="2:14" x14ac:dyDescent="0.3">
      <c r="B41" s="21" t="s">
        <v>22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2:14" x14ac:dyDescent="0.3">
      <c r="B42" s="21" t="s">
        <v>23</v>
      </c>
      <c r="C42" s="7">
        <v>2</v>
      </c>
      <c r="D42" s="7">
        <v>0</v>
      </c>
      <c r="E42" s="7">
        <v>0</v>
      </c>
      <c r="F42" s="7">
        <v>0</v>
      </c>
      <c r="G42" s="7">
        <v>4</v>
      </c>
      <c r="H42" s="7">
        <v>0</v>
      </c>
      <c r="I42" s="7">
        <v>0</v>
      </c>
      <c r="J42" s="7">
        <v>2</v>
      </c>
      <c r="K42" s="7">
        <v>0</v>
      </c>
      <c r="L42" s="7">
        <v>0</v>
      </c>
      <c r="M42" s="7">
        <v>0</v>
      </c>
      <c r="N42" s="23">
        <v>0</v>
      </c>
    </row>
    <row r="43" spans="2:14" x14ac:dyDescent="0.3">
      <c r="B43" s="21" t="s">
        <v>24</v>
      </c>
      <c r="C43" s="42">
        <f>IF(C41&lt;=50000,C41*0.05*C42,C41*0.04*C42)</f>
        <v>0</v>
      </c>
      <c r="D43" s="42">
        <f t="shared" ref="D43" si="63">IF(D41&lt;=50000,D41*0.05*D42,D41*0.04*D42)</f>
        <v>0</v>
      </c>
      <c r="E43" s="42">
        <f t="shared" ref="E43" si="64">IF(E41&lt;=50000,E41*0.05*E42,E41*0.04*E42)</f>
        <v>0</v>
      </c>
      <c r="F43" s="42">
        <f t="shared" ref="F43" si="65">IF(F41&lt;=50000,F41*0.05*F42,F41*0.04*F42)</f>
        <v>0</v>
      </c>
      <c r="G43" s="42">
        <f t="shared" ref="G43" si="66">IF(G41&lt;=50000,G41*0.05*G42,G41*0.04*G42)</f>
        <v>0</v>
      </c>
      <c r="H43" s="42">
        <f t="shared" ref="H43" si="67">IF(H41&lt;=50000,H41*0.05*H42,H41*0.04*H42)</f>
        <v>0</v>
      </c>
      <c r="I43" s="42">
        <f t="shared" ref="I43" si="68">IF(I41&lt;=50000,I41*0.05*I42,I41*0.04*I42)</f>
        <v>0</v>
      </c>
      <c r="J43" s="42">
        <f t="shared" ref="J43" si="69">IF(J41&lt;=50000,J41*0.05*J42,J41*0.04*J42)</f>
        <v>0</v>
      </c>
      <c r="K43" s="42">
        <f t="shared" ref="K43" si="70">IF(K41&lt;=50000,K41*0.05*K42,K41*0.04*K42)</f>
        <v>0</v>
      </c>
      <c r="L43" s="42">
        <f t="shared" ref="L43" si="71">IF(L41&lt;=50000,L41*0.05*L42,L41*0.04*L42)</f>
        <v>0</v>
      </c>
      <c r="M43" s="42">
        <f t="shared" ref="M43" si="72">IF(M41&lt;=50000,M41*0.05*M42,M41*0.04*M42)</f>
        <v>0</v>
      </c>
      <c r="N43" s="54">
        <f t="shared" ref="N43" si="73">IF(N41&lt;=50000,N41*0.05*N42,N41*0.04*N42)</f>
        <v>0</v>
      </c>
    </row>
    <row r="44" spans="2:14" x14ac:dyDescent="0.3">
      <c r="B44" s="20" t="s">
        <v>20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</row>
    <row r="45" spans="2:14" x14ac:dyDescent="0.3">
      <c r="B45" s="21" t="s">
        <v>22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2:14" x14ac:dyDescent="0.3">
      <c r="B46" s="21" t="s">
        <v>23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23">
        <v>4</v>
      </c>
    </row>
    <row r="47" spans="2:14" x14ac:dyDescent="0.3">
      <c r="B47" s="21" t="s">
        <v>24</v>
      </c>
      <c r="C47" s="42">
        <f>IF(C45&lt;=50000,C45*0.05*C46,C45*0.04*C46)</f>
        <v>0</v>
      </c>
      <c r="D47" s="42">
        <f t="shared" ref="D47" si="74">IF(D45&lt;=50000,D45*0.05*D46,D45*0.04*D46)</f>
        <v>0</v>
      </c>
      <c r="E47" s="42">
        <f t="shared" ref="E47" si="75">IF(E45&lt;=50000,E45*0.05*E46,E45*0.04*E46)</f>
        <v>0</v>
      </c>
      <c r="F47" s="42">
        <f t="shared" ref="F47" si="76">IF(F45&lt;=50000,F45*0.05*F46,F45*0.04*F46)</f>
        <v>0</v>
      </c>
      <c r="G47" s="42">
        <f t="shared" ref="G47" si="77">IF(G45&lt;=50000,G45*0.05*G46,G45*0.04*G46)</f>
        <v>0</v>
      </c>
      <c r="H47" s="42">
        <f t="shared" ref="H47" si="78">IF(H45&lt;=50000,H45*0.05*H46,H45*0.04*H46)</f>
        <v>0</v>
      </c>
      <c r="I47" s="42">
        <f t="shared" ref="I47" si="79">IF(I45&lt;=50000,I45*0.05*I46,I45*0.04*I46)</f>
        <v>0</v>
      </c>
      <c r="J47" s="42">
        <f t="shared" ref="J47" si="80">IF(J45&lt;=50000,J45*0.05*J46,J45*0.04*J46)</f>
        <v>0</v>
      </c>
      <c r="K47" s="42">
        <f t="shared" ref="K47" si="81">IF(K45&lt;=50000,K45*0.05*K46,K45*0.04*K46)</f>
        <v>0</v>
      </c>
      <c r="L47" s="42">
        <f t="shared" ref="L47" si="82">IF(L45&lt;=50000,L45*0.05*L46,L45*0.04*L46)</f>
        <v>0</v>
      </c>
      <c r="M47" s="42">
        <f t="shared" ref="M47" si="83">IF(M45&lt;=50000,M45*0.05*M46,M45*0.04*M46)</f>
        <v>0</v>
      </c>
      <c r="N47" s="54">
        <f t="shared" ref="N47" si="84">IF(N45&lt;=50000,N45*0.05*N46,N45*0.04*N46)</f>
        <v>0</v>
      </c>
    </row>
    <row r="48" spans="2:14" x14ac:dyDescent="0.3">
      <c r="B48" s="20" t="s">
        <v>21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</row>
    <row r="49" spans="2:14" x14ac:dyDescent="0.3">
      <c r="B49" s="21" t="s">
        <v>22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2:14" x14ac:dyDescent="0.3">
      <c r="B50" s="21" t="s">
        <v>23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4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23">
        <v>0</v>
      </c>
    </row>
    <row r="51" spans="2:14" x14ac:dyDescent="0.3">
      <c r="B51" s="21" t="s">
        <v>24</v>
      </c>
      <c r="C51" s="42">
        <f>IF(C49&lt;=50000,C49*0.05*C50,C49*0.04*C50)</f>
        <v>0</v>
      </c>
      <c r="D51" s="42">
        <f t="shared" ref="D51" si="85">IF(D49&lt;=50000,D49*0.05*D50,D49*0.04*D50)</f>
        <v>0</v>
      </c>
      <c r="E51" s="42">
        <f t="shared" ref="E51" si="86">IF(E49&lt;=50000,E49*0.05*E50,E49*0.04*E50)</f>
        <v>0</v>
      </c>
      <c r="F51" s="42">
        <f t="shared" ref="F51" si="87">IF(F49&lt;=50000,F49*0.05*F50,F49*0.04*F50)</f>
        <v>0</v>
      </c>
      <c r="G51" s="42">
        <f t="shared" ref="G51" si="88">IF(G49&lt;=50000,G49*0.05*G50,G49*0.04*G50)</f>
        <v>0</v>
      </c>
      <c r="H51" s="42">
        <f t="shared" ref="H51" si="89">IF(H49&lt;=50000,H49*0.05*H50,H49*0.04*H50)</f>
        <v>0</v>
      </c>
      <c r="I51" s="42">
        <f t="shared" ref="I51" si="90">IF(I49&lt;=50000,I49*0.05*I50,I49*0.04*I50)</f>
        <v>0</v>
      </c>
      <c r="J51" s="42">
        <f t="shared" ref="J51" si="91">IF(J49&lt;=50000,J49*0.05*J50,J49*0.04*J50)</f>
        <v>0</v>
      </c>
      <c r="K51" s="42">
        <f t="shared" ref="K51" si="92">IF(K49&lt;=50000,K49*0.05*K50,K49*0.04*K50)</f>
        <v>0</v>
      </c>
      <c r="L51" s="42">
        <f t="shared" ref="L51" si="93">IF(L49&lt;=50000,L49*0.05*L50,L49*0.04*L50)</f>
        <v>0</v>
      </c>
      <c r="M51" s="42">
        <f t="shared" ref="M51" si="94">IF(M49&lt;=50000,M49*0.05*M50,M49*0.04*M50)</f>
        <v>0</v>
      </c>
      <c r="N51" s="54">
        <f t="shared" ref="N51" si="95">IF(N49&lt;=50000,N49*0.05*N50,N49*0.04*N50)</f>
        <v>0</v>
      </c>
    </row>
    <row r="52" spans="2:14" x14ac:dyDescent="0.3">
      <c r="B52" s="20" t="s">
        <v>40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</row>
    <row r="53" spans="2:14" x14ac:dyDescent="0.3">
      <c r="B53" s="21" t="s">
        <v>22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2:14" x14ac:dyDescent="0.3">
      <c r="B54" s="21" t="s">
        <v>23</v>
      </c>
      <c r="C54" s="7">
        <v>0</v>
      </c>
      <c r="D54" s="7">
        <v>0</v>
      </c>
      <c r="E54" s="7">
        <v>0</v>
      </c>
      <c r="F54" s="7">
        <v>5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23">
        <v>0</v>
      </c>
    </row>
    <row r="55" spans="2:14" ht="15" thickBot="1" x14ac:dyDescent="0.35">
      <c r="B55" s="24" t="s">
        <v>24</v>
      </c>
      <c r="C55" s="42">
        <f>IF(C53&lt;=50000,C53*0.05*C54,C53*0.04*C54)</f>
        <v>0</v>
      </c>
      <c r="D55" s="42">
        <f t="shared" ref="D55" si="96">IF(D53&lt;=50000,D53*0.05*D54,D53*0.04*D54)</f>
        <v>0</v>
      </c>
      <c r="E55" s="42">
        <f t="shared" ref="E55" si="97">IF(E53&lt;=50000,E53*0.05*E54,E53*0.04*E54)</f>
        <v>0</v>
      </c>
      <c r="F55" s="42">
        <f t="shared" ref="F55" si="98">IF(F53&lt;=50000,F53*0.05*F54,F53*0.04*F54)</f>
        <v>0</v>
      </c>
      <c r="G55" s="42">
        <f t="shared" ref="G55" si="99">IF(G53&lt;=50000,G53*0.05*G54,G53*0.04*G54)</f>
        <v>0</v>
      </c>
      <c r="H55" s="42">
        <f t="shared" ref="H55" si="100">IF(H53&lt;=50000,H53*0.05*H54,H53*0.04*H54)</f>
        <v>0</v>
      </c>
      <c r="I55" s="42">
        <f t="shared" ref="I55" si="101">IF(I53&lt;=50000,I53*0.05*I54,I53*0.04*I54)</f>
        <v>0</v>
      </c>
      <c r="J55" s="42">
        <f t="shared" ref="J55" si="102">IF(J53&lt;=50000,J53*0.05*J54,J53*0.04*J54)</f>
        <v>0</v>
      </c>
      <c r="K55" s="42">
        <f t="shared" ref="K55" si="103">IF(K53&lt;=50000,K53*0.05*K54,K53*0.04*K54)</f>
        <v>0</v>
      </c>
      <c r="L55" s="42">
        <f t="shared" ref="L55" si="104">IF(L53&lt;=50000,L53*0.05*L54,L53*0.04*L54)</f>
        <v>0</v>
      </c>
      <c r="M55" s="42">
        <f>IF(M53&lt;=50000,M53*0.05*M54,M53*0.04*M54)</f>
        <v>0</v>
      </c>
      <c r="N55" s="54">
        <f t="shared" ref="N55" si="105">IF(N53&lt;=50000,N53*0.05*N54,N53*0.04*N54)</f>
        <v>0</v>
      </c>
    </row>
    <row r="56" spans="2:14" x14ac:dyDescent="0.3">
      <c r="B56" s="20" t="s">
        <v>53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</row>
    <row r="57" spans="2:14" x14ac:dyDescent="0.3">
      <c r="B57" s="21" t="s">
        <v>22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2:14" x14ac:dyDescent="0.3">
      <c r="B58" s="21" t="s">
        <v>54</v>
      </c>
      <c r="C58" s="7">
        <v>0</v>
      </c>
      <c r="D58" s="7">
        <v>3</v>
      </c>
      <c r="E58" s="7">
        <v>0</v>
      </c>
      <c r="F58" s="7">
        <v>2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23">
        <v>0</v>
      </c>
    </row>
    <row r="59" spans="2:14" ht="15" thickBot="1" x14ac:dyDescent="0.35">
      <c r="B59" s="24" t="s">
        <v>24</v>
      </c>
      <c r="C59" s="55">
        <f>IF(C57&lt;=50000,C57*0.05*C58,C57*0.04*C58)</f>
        <v>0</v>
      </c>
      <c r="D59" s="55">
        <f t="shared" ref="D59:N59" si="106">IF(D57&lt;=50000,D57*0.05*D58,D57*0.04*D58)</f>
        <v>0</v>
      </c>
      <c r="E59" s="55">
        <f t="shared" si="106"/>
        <v>0</v>
      </c>
      <c r="F59" s="55">
        <f t="shared" si="106"/>
        <v>0</v>
      </c>
      <c r="G59" s="55">
        <f t="shared" si="106"/>
        <v>0</v>
      </c>
      <c r="H59" s="55">
        <f t="shared" si="106"/>
        <v>0</v>
      </c>
      <c r="I59" s="55">
        <f t="shared" si="106"/>
        <v>0</v>
      </c>
      <c r="J59" s="55">
        <f t="shared" si="106"/>
        <v>0</v>
      </c>
      <c r="K59" s="55">
        <f t="shared" si="106"/>
        <v>0</v>
      </c>
      <c r="L59" s="55">
        <f t="shared" si="106"/>
        <v>0</v>
      </c>
      <c r="M59" s="55">
        <f t="shared" si="106"/>
        <v>0</v>
      </c>
      <c r="N59" s="56">
        <f t="shared" si="106"/>
        <v>0</v>
      </c>
    </row>
    <row r="60" spans="2:14" x14ac:dyDescent="0.3">
      <c r="B60" s="26" t="s">
        <v>55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 spans="2:14" x14ac:dyDescent="0.3">
      <c r="B61" s="21" t="s">
        <v>22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2:14" x14ac:dyDescent="0.3">
      <c r="B62" s="21" t="s">
        <v>54</v>
      </c>
      <c r="C62" s="7">
        <v>0</v>
      </c>
      <c r="D62" s="7">
        <v>3</v>
      </c>
      <c r="E62" s="7">
        <v>0</v>
      </c>
      <c r="F62" s="7">
        <v>2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23">
        <v>0</v>
      </c>
    </row>
    <row r="63" spans="2:14" ht="15" thickBot="1" x14ac:dyDescent="0.35">
      <c r="B63" s="24" t="s">
        <v>24</v>
      </c>
      <c r="C63" s="55">
        <f>IF(C61&lt;=50000,C61*0.05*C62,C61*0.04*C62)</f>
        <v>0</v>
      </c>
      <c r="D63" s="55">
        <f t="shared" ref="D63:N63" si="107">IF(D61&lt;=50000,D61*0.05*D62,D61*0.04*D62)</f>
        <v>0</v>
      </c>
      <c r="E63" s="55">
        <f t="shared" si="107"/>
        <v>0</v>
      </c>
      <c r="F63" s="55">
        <f t="shared" si="107"/>
        <v>0</v>
      </c>
      <c r="G63" s="55">
        <f t="shared" si="107"/>
        <v>0</v>
      </c>
      <c r="H63" s="55">
        <f t="shared" si="107"/>
        <v>0</v>
      </c>
      <c r="I63" s="55">
        <f t="shared" si="107"/>
        <v>0</v>
      </c>
      <c r="J63" s="55">
        <f t="shared" si="107"/>
        <v>0</v>
      </c>
      <c r="K63" s="55">
        <f t="shared" si="107"/>
        <v>0</v>
      </c>
      <c r="L63" s="55">
        <f t="shared" si="107"/>
        <v>0</v>
      </c>
      <c r="M63" s="55">
        <f t="shared" si="107"/>
        <v>0</v>
      </c>
      <c r="N63" s="56">
        <f t="shared" si="107"/>
        <v>0</v>
      </c>
    </row>
  </sheetData>
  <mergeCells count="1">
    <mergeCell ref="B3:N3"/>
  </mergeCells>
  <phoneticPr fontId="2" type="noConversion"/>
  <dataValidations count="1">
    <dataValidation type="list" allowBlank="1" showInputMessage="1" showErrorMessage="1" sqref="C7:N7 C11:N11 C16:N16 C21:N21 C26:N26 C30:N30 C34:N34 C38:N38 C42:N42 C46:N46 C50:N50 C54:N54 C58:N58 C62:N62" xr:uid="{3FE1ADB6-37F1-4209-B6E1-57AE49B2C867}">
      <formula1>"0,1,2,3,4,5"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56EC-50F6-419F-A99E-972CBFED5EA2}">
  <sheetPr>
    <tabColor theme="8" tint="0.39997558519241921"/>
  </sheetPr>
  <dimension ref="C1:O52"/>
  <sheetViews>
    <sheetView zoomScale="85" zoomScaleNormal="85" workbookViewId="0">
      <pane ySplit="3" topLeftCell="A4" activePane="bottomLeft" state="frozen"/>
      <selection pane="bottomLeft" activeCell="O52" sqref="O52"/>
    </sheetView>
  </sheetViews>
  <sheetFormatPr defaultColWidth="8.77734375" defaultRowHeight="14.4" x14ac:dyDescent="0.3"/>
  <cols>
    <col min="1" max="3" width="8.77734375" style="1"/>
    <col min="4" max="5" width="10" style="1" bestFit="1" customWidth="1"/>
    <col min="6" max="14" width="8.77734375" style="1" bestFit="1" customWidth="1"/>
    <col min="15" max="15" width="11.44140625" style="1" bestFit="1" customWidth="1"/>
    <col min="16" max="16384" width="8.77734375" style="1"/>
  </cols>
  <sheetData>
    <row r="1" spans="3:15" ht="15" thickBot="1" x14ac:dyDescent="0.35"/>
    <row r="2" spans="3:15" x14ac:dyDescent="0.3">
      <c r="C2" s="113" t="s">
        <v>51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5"/>
    </row>
    <row r="3" spans="3:15" ht="15" thickBot="1" x14ac:dyDescent="0.35">
      <c r="C3" s="116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8"/>
    </row>
    <row r="4" spans="3:15" s="3" customFormat="1" ht="21" x14ac:dyDescent="0.4">
      <c r="C4" s="127" t="s">
        <v>26</v>
      </c>
      <c r="D4" s="128"/>
      <c r="E4" s="128"/>
      <c r="F4" s="37" t="s">
        <v>48</v>
      </c>
      <c r="G4" s="19"/>
      <c r="H4" s="124" t="s">
        <v>25</v>
      </c>
      <c r="I4" s="126"/>
      <c r="J4" s="19"/>
      <c r="K4" s="19"/>
      <c r="L4" s="19"/>
      <c r="M4" s="124" t="s">
        <v>29</v>
      </c>
      <c r="N4" s="125"/>
      <c r="O4" s="126"/>
    </row>
    <row r="5" spans="3:15" x14ac:dyDescent="0.3">
      <c r="C5" s="15" t="s">
        <v>12</v>
      </c>
      <c r="D5" s="107">
        <f>SUM(LOANS!C6:N6)</f>
        <v>2</v>
      </c>
      <c r="E5" s="107"/>
      <c r="F5" s="43" t="str">
        <f>IF(SAVING!P22&lt;=INCOME!D5,"YES","NO")</f>
        <v>YES</v>
      </c>
      <c r="G5" s="7"/>
      <c r="H5" s="18" t="s">
        <v>0</v>
      </c>
      <c r="I5" s="44">
        <f>SUM(LOANS!C8,LOANS!C12,LOANS!C17,LOANS!C22,LOANS!C27,LOANS!C31,LOANS!C35,LOANS!C39,LOANS!C43,LOANS!C47,LOANS!C51,LOANS!C55)</f>
        <v>2000</v>
      </c>
      <c r="J5" s="7"/>
      <c r="K5" s="7"/>
      <c r="L5" s="7"/>
      <c r="M5" s="119" t="s">
        <v>30</v>
      </c>
      <c r="N5" s="120"/>
      <c r="O5" s="121"/>
    </row>
    <row r="6" spans="3:15" x14ac:dyDescent="0.3">
      <c r="C6" s="15" t="s">
        <v>14</v>
      </c>
      <c r="D6" s="107">
        <f>SUM(LOANS!C10:N10)</f>
        <v>0</v>
      </c>
      <c r="E6" s="107"/>
      <c r="F6" s="43" t="str">
        <f>IF(SAVING!P23&lt;=INCOME!D6,"YES","NO")</f>
        <v>YES</v>
      </c>
      <c r="G6" s="7"/>
      <c r="H6" s="18" t="s">
        <v>1</v>
      </c>
      <c r="I6" s="44">
        <f>SUM(LOANS!D8,LOANS!D12,LOANS!D17,LOANS!D22,LOANS!D27,LOANS!D31,LOANS!D35,LOANS!D39,LOANS!D43,LOANS!D47,LOANS!D51,LOANS!D55)</f>
        <v>2250</v>
      </c>
      <c r="J6" s="7"/>
      <c r="K6" s="7"/>
      <c r="L6" s="7"/>
      <c r="M6" s="122" t="s">
        <v>31</v>
      </c>
      <c r="N6" s="123"/>
      <c r="O6" s="39">
        <v>3434</v>
      </c>
    </row>
    <row r="7" spans="3:15" x14ac:dyDescent="0.3">
      <c r="C7" s="15" t="s">
        <v>13</v>
      </c>
      <c r="D7" s="107">
        <f>SUM(LOANS!C15:N15)</f>
        <v>0</v>
      </c>
      <c r="E7" s="107"/>
      <c r="F7" s="43" t="str">
        <f>IF(SAVING!P24&lt;=INCOME!D7,"YES","NO")</f>
        <v>YES</v>
      </c>
      <c r="G7" s="7"/>
      <c r="H7" s="18" t="s">
        <v>2</v>
      </c>
      <c r="I7" s="44">
        <f>SUM(LOANS!E8,LOANS!E12,LOANS!E17,LOANS!E22,LOANS!E27,LOANS!E31,LOANS!E35,LOANS!E39,LOANS!E43,LOANS!E47,LOANS!E51,LOANS!E55)</f>
        <v>1500</v>
      </c>
      <c r="J7" s="7"/>
      <c r="K7" s="7"/>
      <c r="L7" s="7"/>
      <c r="M7" s="122" t="s">
        <v>32</v>
      </c>
      <c r="N7" s="123"/>
      <c r="O7" s="44">
        <f>SUM(SAVING!P22:P35)</f>
        <v>89000</v>
      </c>
    </row>
    <row r="8" spans="3:15" x14ac:dyDescent="0.3">
      <c r="C8" s="15" t="s">
        <v>15</v>
      </c>
      <c r="D8" s="107">
        <f>SUM(LOANS!C20:N20)</f>
        <v>327550</v>
      </c>
      <c r="E8" s="107"/>
      <c r="F8" s="43" t="str">
        <f>IF(SAVING!P25&lt;=INCOME!D8,"YES","NO")</f>
        <v>YES</v>
      </c>
      <c r="G8" s="7"/>
      <c r="H8" s="18" t="s">
        <v>3</v>
      </c>
      <c r="I8" s="44">
        <f>SUM(LOANS!F8,LOANS!F12,LOANS!F17,LOANS!F22,LOANS!F27,LOANS!F31,LOANS!F35,LOANS!F39,LOANS!F43,LOANS!F47,LOANS!F51,LOANS!F55)</f>
        <v>2400</v>
      </c>
      <c r="J8" s="7"/>
      <c r="K8" s="7"/>
      <c r="L8" s="7"/>
      <c r="M8" s="122" t="s">
        <v>33</v>
      </c>
      <c r="N8" s="123"/>
      <c r="O8" s="44">
        <f>SUM(I5:I16)</f>
        <v>14252</v>
      </c>
    </row>
    <row r="9" spans="3:15" x14ac:dyDescent="0.3">
      <c r="C9" s="15" t="s">
        <v>16</v>
      </c>
      <c r="D9" s="107">
        <f>SUM(LOANS!C25:N25)</f>
        <v>0</v>
      </c>
      <c r="E9" s="107"/>
      <c r="F9" s="43" t="str">
        <f>IF(SAVING!P26&lt;=INCOME!D9,"YES","NO")</f>
        <v>YES</v>
      </c>
      <c r="G9" s="7"/>
      <c r="H9" s="18" t="s">
        <v>4</v>
      </c>
      <c r="I9" s="44">
        <f>SUM(LOANS!G8,LOANS!G12,LOANS!G17,LOANS!G22,LOANS!G27,LOANS!G31,LOANS!G35,LOANS!G39,LOANS!G43,LOANS!G47,LOANS!G51,LOANS!G55)</f>
        <v>2080</v>
      </c>
      <c r="J9" s="7"/>
      <c r="K9" s="7"/>
      <c r="L9" s="7"/>
      <c r="M9" s="129" t="s">
        <v>34</v>
      </c>
      <c r="N9" s="130"/>
      <c r="O9" s="39">
        <v>45</v>
      </c>
    </row>
    <row r="10" spans="3:15" x14ac:dyDescent="0.3">
      <c r="C10" s="15" t="s">
        <v>17</v>
      </c>
      <c r="D10" s="107">
        <f>SUM(LOANS!C29:N29)</f>
        <v>0</v>
      </c>
      <c r="E10" s="107"/>
      <c r="F10" s="43" t="str">
        <f>IF(SAVING!P27&lt;=INCOME!D10,"YES","NO")</f>
        <v>YES</v>
      </c>
      <c r="G10" s="7"/>
      <c r="H10" s="18" t="s">
        <v>5</v>
      </c>
      <c r="I10" s="44">
        <f>SUM(LOANS!H8,LOANS!H12,LOANS!H17,LOANS!H22,LOANS!H27,LOANS!H31,LOANS!H35,LOANS!H39,LOANS!H43,LOANS!H47,LOANS!H51,LOANS!H55)</f>
        <v>0</v>
      </c>
      <c r="J10" s="7"/>
      <c r="K10" s="7"/>
      <c r="L10" s="7"/>
      <c r="M10" s="122" t="s">
        <v>37</v>
      </c>
      <c r="N10" s="123"/>
      <c r="O10" s="45">
        <f>SUM(O6:O9)</f>
        <v>106731</v>
      </c>
    </row>
    <row r="11" spans="3:15" x14ac:dyDescent="0.3">
      <c r="C11" s="15" t="s">
        <v>18</v>
      </c>
      <c r="D11" s="107">
        <f>SUM(LOANS!C33:N33)</f>
        <v>0</v>
      </c>
      <c r="E11" s="107"/>
      <c r="F11" s="43" t="str">
        <f>IF(SAVING!P28&lt;=INCOME!D11,"YES","NO")</f>
        <v>YES</v>
      </c>
      <c r="G11" s="7"/>
      <c r="H11" s="18" t="s">
        <v>6</v>
      </c>
      <c r="I11" s="44">
        <f>SUM(LOANS!I8,LOANS!I12,LOANS!I17,LOANS!I22,LOANS!I27,LOANS!I31,LOANS!I35,LOANS!I39,LOANS!I43,LOANS!I47,LOANS!I51,LOANS!I55)</f>
        <v>2020</v>
      </c>
      <c r="J11" s="7"/>
      <c r="K11" s="7"/>
      <c r="L11" s="7"/>
      <c r="M11" s="122" t="s">
        <v>35</v>
      </c>
      <c r="N11" s="123"/>
      <c r="O11" s="40">
        <v>6777</v>
      </c>
    </row>
    <row r="12" spans="3:15" x14ac:dyDescent="0.3">
      <c r="C12" s="15" t="s">
        <v>52</v>
      </c>
      <c r="D12" s="107">
        <f>SUM(LOANS!C37:N37)</f>
        <v>0</v>
      </c>
      <c r="E12" s="107"/>
      <c r="F12" s="43" t="str">
        <f>IF(SAVING!P29&lt;=INCOME!D12,"YES","NO")</f>
        <v>YES</v>
      </c>
      <c r="G12" s="7"/>
      <c r="H12" s="18" t="s">
        <v>7</v>
      </c>
      <c r="I12" s="44">
        <f>SUM(LOANS!J8,LOANS!J12,LOANS!J17,LOANS!J22,LOANS!J27,LOANS!J31,LOANS!J35,LOANS!J39,LOANS!J43,LOANS!J47,LOANS!J51,LOANS!J55)</f>
        <v>2002</v>
      </c>
      <c r="J12" s="7"/>
      <c r="K12" s="7"/>
      <c r="L12" s="7"/>
      <c r="M12" s="122"/>
      <c r="N12" s="123"/>
      <c r="O12" s="40"/>
    </row>
    <row r="13" spans="3:15" x14ac:dyDescent="0.3">
      <c r="C13" s="15" t="s">
        <v>19</v>
      </c>
      <c r="D13" s="107">
        <f>SUM(LOANS!C41:N41)</f>
        <v>0</v>
      </c>
      <c r="E13" s="107"/>
      <c r="F13" s="43" t="str">
        <f>IF(SAVING!P30&lt;=INCOME!D13,"YES","NO")</f>
        <v>YES</v>
      </c>
      <c r="G13" s="7"/>
      <c r="H13" s="18" t="s">
        <v>8</v>
      </c>
      <c r="I13" s="44">
        <f>SUM(LOANS!K8,LOANS!K12,LOANS!K17,LOANS!K22,LOANS!K27,LOANS!K31,LOANS!K35,LOANS!K39,LOANS!K43,LOANS!K47,LOANS!K51,LOANS!K55)</f>
        <v>0</v>
      </c>
      <c r="J13" s="7"/>
      <c r="K13" s="7"/>
      <c r="L13" s="7"/>
      <c r="M13" s="122" t="s">
        <v>36</v>
      </c>
      <c r="N13" s="123"/>
      <c r="O13" s="45">
        <f>O10-O11</f>
        <v>99954</v>
      </c>
    </row>
    <row r="14" spans="3:15" x14ac:dyDescent="0.3">
      <c r="C14" s="15" t="s">
        <v>20</v>
      </c>
      <c r="D14" s="107">
        <f>SUM(LOANS!C45:N45)</f>
        <v>0</v>
      </c>
      <c r="E14" s="107"/>
      <c r="F14" s="43" t="str">
        <f>IF(SAVING!P31&lt;=INCOME!D14,"YES","NO")</f>
        <v>YES</v>
      </c>
      <c r="G14" s="7"/>
      <c r="H14" s="18" t="s">
        <v>9</v>
      </c>
      <c r="I14" s="44">
        <f>SUM(LOANS!L8,LOANS!L12,LOANS!L17,LOANS!L22,LOANS!L27,LOANS!L31,LOANS!L35,LOANS!L39,LOANS!L43,LOANS!L47,LOANS!L51,LOANS!L55)</f>
        <v>0</v>
      </c>
      <c r="J14" s="7"/>
      <c r="K14" s="7"/>
      <c r="L14" s="7"/>
      <c r="M14" s="122" t="s">
        <v>38</v>
      </c>
      <c r="N14" s="123"/>
      <c r="O14" s="39">
        <v>559638</v>
      </c>
    </row>
    <row r="15" spans="3:15" ht="15" thickBot="1" x14ac:dyDescent="0.35">
      <c r="C15" s="15" t="s">
        <v>21</v>
      </c>
      <c r="D15" s="107">
        <f>SUM(LOANS!C49:N49)</f>
        <v>0</v>
      </c>
      <c r="E15" s="107"/>
      <c r="F15" s="43" t="str">
        <f>IF(SAVING!P32&lt;=INCOME!D15,"YES","NO")</f>
        <v>YES</v>
      </c>
      <c r="G15" s="7"/>
      <c r="H15" s="18" t="s">
        <v>10</v>
      </c>
      <c r="I15" s="44">
        <f>SUM(LOANS!M8,LOANS!M12,LOANS!M17,LOANS!M22,LOANS!M27,LOANS!M31,LOANS!M35,LOANS!M39,LOANS!M43,LOANS!M47,LOANS!M51,LOANS!M55)</f>
        <v>0</v>
      </c>
      <c r="J15" s="7"/>
      <c r="K15" s="7"/>
      <c r="L15" s="7"/>
      <c r="M15" s="108" t="s">
        <v>39</v>
      </c>
      <c r="N15" s="109"/>
      <c r="O15" s="46">
        <f>(O14-O13)</f>
        <v>459684</v>
      </c>
    </row>
    <row r="16" spans="3:15" ht="15" thickBot="1" x14ac:dyDescent="0.35">
      <c r="C16" s="15" t="s">
        <v>40</v>
      </c>
      <c r="D16" s="107">
        <f>SUM(LOANS!C53:N53)</f>
        <v>0</v>
      </c>
      <c r="E16" s="107"/>
      <c r="F16" s="43" t="str">
        <f>IF(SAVING!P33&lt;=INCOME!D16,"YES","NO")</f>
        <v>YES</v>
      </c>
      <c r="G16" s="7"/>
      <c r="H16" s="38" t="s">
        <v>11</v>
      </c>
      <c r="I16" s="47">
        <f>SUM(LOANS!N8,LOANS!N12,LOANS!N17,LOANS!N22,LOANS!N27,LOANS!N31,LOANS!N35,LOANS!N39,LOANS!N43,LOANS!N47,LOANS!N51,LOANS!N55)</f>
        <v>0</v>
      </c>
      <c r="J16" s="7"/>
      <c r="K16" s="7"/>
      <c r="L16" s="7"/>
      <c r="M16" s="110"/>
      <c r="N16" s="111"/>
      <c r="O16" s="41"/>
    </row>
    <row r="17" spans="3:15" x14ac:dyDescent="0.3">
      <c r="C17" s="15" t="s">
        <v>53</v>
      </c>
      <c r="D17" s="107">
        <f>SUM(LOANS!C57:N57)</f>
        <v>0</v>
      </c>
      <c r="E17" s="107"/>
      <c r="F17" s="43" t="str">
        <f>IF(SAVING!P34&lt;=INCOME!D17,"YES","NO")</f>
        <v>YES</v>
      </c>
      <c r="G17" s="7"/>
      <c r="H17" s="7"/>
      <c r="I17" s="7"/>
      <c r="J17" s="7"/>
      <c r="K17" s="7"/>
      <c r="L17" s="7"/>
      <c r="M17" s="7"/>
      <c r="N17" s="7"/>
      <c r="O17" s="7"/>
    </row>
    <row r="18" spans="3:15" ht="15" thickBot="1" x14ac:dyDescent="0.35">
      <c r="C18" s="17" t="s">
        <v>55</v>
      </c>
      <c r="D18" s="112">
        <f>SUM(LOANS!C61:N61)</f>
        <v>0</v>
      </c>
      <c r="E18" s="112"/>
      <c r="F18" s="48" t="str">
        <f>IF(SAVING!P35&lt;=INCOME!D18,"YES","NO")</f>
        <v>YES</v>
      </c>
      <c r="G18" s="7"/>
      <c r="H18" s="7"/>
      <c r="I18" s="7"/>
      <c r="J18" s="7"/>
      <c r="K18" s="7"/>
      <c r="L18" s="7"/>
      <c r="M18" s="7"/>
      <c r="N18" s="7"/>
      <c r="O18" s="7"/>
    </row>
    <row r="19" spans="3:15" ht="15" thickBot="1" x14ac:dyDescent="0.35"/>
    <row r="20" spans="3:15" ht="25.8" x14ac:dyDescent="0.5">
      <c r="C20" s="104" t="s">
        <v>50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6"/>
    </row>
    <row r="21" spans="3:15" x14ac:dyDescent="0.3">
      <c r="C21" s="15"/>
      <c r="D21" s="7" t="s">
        <v>0</v>
      </c>
      <c r="E21" s="7" t="s">
        <v>1</v>
      </c>
      <c r="F21" s="7" t="s">
        <v>2</v>
      </c>
      <c r="G21" s="7" t="s">
        <v>3</v>
      </c>
      <c r="H21" s="7" t="s">
        <v>4</v>
      </c>
      <c r="I21" s="7" t="s">
        <v>5</v>
      </c>
      <c r="J21" s="7" t="s">
        <v>6</v>
      </c>
      <c r="K21" s="7" t="s">
        <v>7</v>
      </c>
      <c r="L21" s="7" t="s">
        <v>8</v>
      </c>
      <c r="M21" s="7" t="s">
        <v>9</v>
      </c>
      <c r="N21" s="7" t="s">
        <v>10</v>
      </c>
      <c r="O21" s="16" t="s">
        <v>11</v>
      </c>
    </row>
    <row r="22" spans="3:15" x14ac:dyDescent="0.3">
      <c r="C22" s="15" t="s">
        <v>12</v>
      </c>
      <c r="D22" s="49">
        <f>IFERROR(IF(F5="YES",SAVING!E22/SUMIF($F$5:$F$18,"YES",SAVING!$E$22:$E$35),0),0)</f>
        <v>0</v>
      </c>
      <c r="E22" s="49">
        <f>IFERROR(IF(F5="YES",SAVING!F22/SUMIF(INCOME!$F$5:$F$18,"YES",SAVING!$F$22:$F$35),0),0)</f>
        <v>0</v>
      </c>
      <c r="F22" s="49">
        <f>IFERROR(IF(F5="YES",SAVING!G22/SUMIF(INCOME!$F$5:$F$18,"YES",SAVING!$G$22:$G$35),0),0)</f>
        <v>0</v>
      </c>
      <c r="G22" s="49">
        <f>IFERROR(IF(F5="YES",SAVING!H22/SUMIF(INCOME!$F$5:$F$18,"YES",SAVING!$H$22:$H$35),0),0)</f>
        <v>0</v>
      </c>
      <c r="H22" s="49">
        <f>IFERROR(IF(F5="YES",SAVING!I22/SUMIF(INCOME!$F$5:$F$18,"YES",SAVING!$I$22:$I$35),0),0)</f>
        <v>0</v>
      </c>
      <c r="I22" s="49">
        <f>IFERROR(IF(F5="YES",SAVING!J22/SUMIF(INCOME!$F$5:$F$18,"YES",SAVING!$J$22:$J$35),0),0)</f>
        <v>0</v>
      </c>
      <c r="J22" s="49">
        <f>IFERROR(IF(F5="YES",SAVING!K22/SUMIF(INCOME!$F$5:$F$18,"YES",SAVING!$K$22:$K$35),0),0)</f>
        <v>0</v>
      </c>
      <c r="K22" s="49">
        <f>IFERROR(IF(F5="YES",SAVING!L22/SUMIF(INCOME!$F$5:$F$18,"YES",SAVING!$L$22:$L$35),0),0)</f>
        <v>0</v>
      </c>
      <c r="L22" s="49">
        <f>IFERROR(IF(F5="YES",SAVING!M22/SUMIF(INCOME!$F$5:$F$18,"YES",SAVING!$M$22:$M$36),0),0)</f>
        <v>0</v>
      </c>
      <c r="M22" s="49">
        <f>IFERROR(IF(F5="YES",SAVING!N22/SUMIF(INCOME!$F$5:$F$18,"YES",SAVING!$N$22:$N$35),0),0)</f>
        <v>0</v>
      </c>
      <c r="N22" s="49">
        <f>IFERROR(IF(F5="YES",SAVING!O22/SUMIF(INCOME!$F$5:$F$18,"YES",SAVING!$O$22:$O$35),0),0)</f>
        <v>0</v>
      </c>
      <c r="O22" s="44">
        <f ca="1">IFERROR(IF(F5="YES",SAVING!P22/SUMIF(INCOME!$F$5:$F$178,"YES",SAVING!$P$22:$P$35),0),0)</f>
        <v>0</v>
      </c>
    </row>
    <row r="23" spans="3:15" x14ac:dyDescent="0.3">
      <c r="C23" s="15" t="s">
        <v>14</v>
      </c>
      <c r="D23" s="49">
        <f>IFERROR(IF(F6="YES",SAVING!E23/SUMIF($F$5:$F$18,"YES",SAVING!$E$22:$E$35),0),0)</f>
        <v>0</v>
      </c>
      <c r="E23" s="49">
        <f>IFERROR(IF(F6="YES",SAVING!F23/SUMIF(INCOME!$F$5:$F$18,"YES",SAVING!$F$22:$F$35),0),0)</f>
        <v>0</v>
      </c>
      <c r="F23" s="49">
        <f>IFERROR(IF(F6="YES",SAVING!G23/SUMIF(INCOME!$F$5:$F$18,"YES",SAVING!$G$22:$G$35),0),0)</f>
        <v>0</v>
      </c>
      <c r="G23" s="49">
        <f>IFERROR(IF(F6="YES",SAVING!H23/SUMIF(INCOME!$F$5:$F$18,"YES",SAVING!$H$22:$H$35),0),0)</f>
        <v>0</v>
      </c>
      <c r="H23" s="49">
        <f>IFERROR(IF(F6="YES",SAVING!I23/SUMIF(INCOME!$F$5:$F$18,"YES",SAVING!$I$22:$I$35),0),0)</f>
        <v>0</v>
      </c>
      <c r="I23" s="49">
        <f>IFERROR(IF(F6="YES",SAVING!J23/SUMIF(INCOME!$F$5:$F$18,"YES",SAVING!$J$22:$J$35),0),0)</f>
        <v>0</v>
      </c>
      <c r="J23" s="49">
        <f>IFERROR(IF(F6="YES",SAVING!K23/SUMIF(INCOME!$F$5:$F$18,"YES",SAVING!$K$22:$K$35),0),0)</f>
        <v>0</v>
      </c>
      <c r="K23" s="49">
        <f>IFERROR(IF(F6="YES",SAVING!L23/SUMIF(INCOME!$F$5:$F$18,"YES",SAVING!$L$22:$L$35),0),0)</f>
        <v>0</v>
      </c>
      <c r="L23" s="49">
        <f>IFERROR(IF(F6="YES",SAVING!M23/SUMIF(INCOME!$F$5:$F$18,"YES",SAVING!$M$22:$M$36),0),0)</f>
        <v>0</v>
      </c>
      <c r="M23" s="49">
        <f>IFERROR(IF(F6="YES",SAVING!N23/SUMIF(INCOME!$F$5:$F$18,"YES",SAVING!$N$22:$N$35),0),0)</f>
        <v>0</v>
      </c>
      <c r="N23" s="49">
        <f>IFERROR(IF(F6="YES",SAVING!O23/SUMIF(INCOME!$F$5:$F$18,"YES",SAVING!$O$22:$O$35),0),0)</f>
        <v>0</v>
      </c>
      <c r="O23" s="44">
        <f ca="1">IFERROR(IF(F6="YES",SAVING!P23/SUMIF(INCOME!$F$5:$F$178,"YES",SAVING!$P$22:$P$35),0),0)</f>
        <v>0</v>
      </c>
    </row>
    <row r="24" spans="3:15" x14ac:dyDescent="0.3">
      <c r="C24" s="15" t="s">
        <v>13</v>
      </c>
      <c r="D24" s="49">
        <f>IFERROR(IF(F7="YES",SAVING!E24/SUMIF($F$5:$F$18,"YES",SAVING!$E$22:$E$35),0),0)</f>
        <v>0</v>
      </c>
      <c r="E24" s="49">
        <f>IFERROR(IF(F7="YES",SAVING!F24/SUMIF(INCOME!$F$5:$F$18,"YES",SAVING!$F$22:$F$35),0),0)</f>
        <v>0</v>
      </c>
      <c r="F24" s="49">
        <f>IFERROR(IF(F7="YES",SAVING!G24/SUMIF(INCOME!$F$5:$F$18,"YES",SAVING!$G$22:$G$35),0),0)</f>
        <v>0</v>
      </c>
      <c r="G24" s="49">
        <f>IFERROR(IF(F7="YES",SAVING!H24/SUMIF(INCOME!$F$5:$F$18,"YES",SAVING!$H$22:$H$35),0),0)</f>
        <v>0</v>
      </c>
      <c r="H24" s="49">
        <f>IFERROR(IF(F7="YES",SAVING!I24/SUMIF(INCOME!$F$5:$F$18,"YES",SAVING!$I$22:$I$35),0),0)</f>
        <v>0</v>
      </c>
      <c r="I24" s="49">
        <f>IFERROR(IF(F7="YES",SAVING!J24/SUMIF(INCOME!$F$5:$F$18,"YES",SAVING!$J$22:$J$35),0),0)</f>
        <v>0</v>
      </c>
      <c r="J24" s="49">
        <f>IFERROR(IF(F7="YES",SAVING!K24/SUMIF(INCOME!$F$5:$F$18,"YES",SAVING!$K$22:$K$35),0),0)</f>
        <v>0</v>
      </c>
      <c r="K24" s="49">
        <f>IFERROR(IF(F7="YES",SAVING!L24/SUMIF(INCOME!$F$5:$F$18,"YES",SAVING!$L$22:$L$35),0),0)</f>
        <v>0</v>
      </c>
      <c r="L24" s="49">
        <f>IFERROR(IF(F7="YES",SAVING!M24/SUMIF(INCOME!$F$5:$F$18,"YES",SAVING!$M$22:$M$36),0),0)</f>
        <v>0</v>
      </c>
      <c r="M24" s="49">
        <f>IFERROR(IF(F7="YES",SAVING!N24/SUMIF(INCOME!$F$5:$F$18,"YES",SAVING!$N$22:$N$35),0),0)</f>
        <v>0</v>
      </c>
      <c r="N24" s="49">
        <f>IFERROR(IF(F7="YES",SAVING!O24/SUMIF(INCOME!$F$5:$F$18,"YES",SAVING!$O$22:$O$35),0),0)</f>
        <v>0</v>
      </c>
      <c r="O24" s="44">
        <f ca="1">IFERROR(IF(F7="YES",SAVING!P24/SUMIF(INCOME!$F$5:$F$178,"YES",SAVING!$P$22:$P$35),0),0)</f>
        <v>0</v>
      </c>
    </row>
    <row r="25" spans="3:15" x14ac:dyDescent="0.3">
      <c r="C25" s="15" t="s">
        <v>15</v>
      </c>
      <c r="D25" s="49">
        <f>IFERROR(IF(F8="YES",SAVING!E25/SUMIF($F$5:$F$18,"YES",SAVING!$E$22:$E$35),0),0)</f>
        <v>1</v>
      </c>
      <c r="E25" s="49">
        <f>IFERROR(IF(F8="YES",SAVING!F25/SUMIF(INCOME!$F$5:$F$18,"YES",SAVING!$F$22:$F$35),0),0)</f>
        <v>1</v>
      </c>
      <c r="F25" s="49">
        <f>IFERROR(IF(F8="YES",SAVING!G25/SUMIF(INCOME!$F$5:$F$18,"YES",SAVING!$G$22:$G$35),0),0)</f>
        <v>1</v>
      </c>
      <c r="G25" s="49">
        <f>IFERROR(IF(F8="YES",SAVING!H25/SUMIF(INCOME!$F$5:$F$18,"YES",SAVING!$H$22:$H$35),0),0)</f>
        <v>1</v>
      </c>
      <c r="H25" s="49">
        <f>IFERROR(IF(F8="YES",SAVING!I25/SUMIF(INCOME!$F$5:$F$18,"YES",SAVING!$I$22:$I$35),0),0)</f>
        <v>1</v>
      </c>
      <c r="I25" s="49">
        <f>IFERROR(IF(F8="YES",SAVING!J25/SUMIF(INCOME!$F$5:$F$18,"YES",SAVING!$J$22:$J$35),0),0)</f>
        <v>1</v>
      </c>
      <c r="J25" s="49">
        <f>IFERROR(IF(F8="YES",SAVING!K25/SUMIF(INCOME!$F$5:$F$18,"YES",SAVING!$K$22:$K$35),0),0)</f>
        <v>1</v>
      </c>
      <c r="K25" s="49">
        <f>IFERROR(IF(F8="YES",SAVING!L25/SUMIF(INCOME!$F$5:$F$18,"YES",SAVING!$L$22:$L$35),0),0)</f>
        <v>1</v>
      </c>
      <c r="L25" s="49">
        <f>IFERROR(IF(F8="YES",SAVING!M25/SUMIF(INCOME!$F$5:$F$18,"YES",SAVING!$M$22:$M$36),0),0)</f>
        <v>1</v>
      </c>
      <c r="M25" s="49">
        <f>IFERROR(IF(F8="YES",SAVING!N25/SUMIF(INCOME!$F$5:$F$18,"YES",SAVING!$N$22:$N$35),0),0)</f>
        <v>1</v>
      </c>
      <c r="N25" s="49">
        <f>IFERROR(IF(F8="YES",SAVING!O25/SUMIF(INCOME!$F$5:$F$18,"YES",SAVING!$O$22:$O$35),0),0)</f>
        <v>1</v>
      </c>
      <c r="O25" s="44">
        <f ca="1">IFERROR(IF(F8="YES",SAVING!P25/SUMIF(INCOME!$F$5:$F$178,"YES",SAVING!$P$22:$P$35),0),0)</f>
        <v>1</v>
      </c>
    </row>
    <row r="26" spans="3:15" x14ac:dyDescent="0.3">
      <c r="C26" s="15" t="s">
        <v>16</v>
      </c>
      <c r="D26" s="49">
        <f>IFERROR(IF(F9="YES",SAVING!E26/SUMIF($F$5:$F$18,"YES",SAVING!$E$22:$E$35),0),0)</f>
        <v>0</v>
      </c>
      <c r="E26" s="49">
        <f>IFERROR(IF(F9="YES",SAVING!F26/SUMIF(INCOME!$F$5:$F$18,"YES",SAVING!$F$22:$F$35),0),0)</f>
        <v>0</v>
      </c>
      <c r="F26" s="49">
        <f>IFERROR(IF(F9="YES",SAVING!G26/SUMIF(INCOME!$F$5:$F$18,"YES",SAVING!$G$22:$G$35),0),0)</f>
        <v>0</v>
      </c>
      <c r="G26" s="49">
        <f>IFERROR(IF(F9="YES",SAVING!H26/SUMIF(INCOME!$F$5:$F$18,"YES",SAVING!$H$22:$H$35),0),0)</f>
        <v>0</v>
      </c>
      <c r="H26" s="49">
        <f>IFERROR(IF(F9="YES",SAVING!I26/SUMIF(INCOME!$F$5:$F$18,"YES",SAVING!$I$22:$I$35),0),0)</f>
        <v>0</v>
      </c>
      <c r="I26" s="49">
        <f>IFERROR(IF(F9="YES",SAVING!J26/SUMIF(INCOME!$F$5:$F$18,"YES",SAVING!$J$22:$J$35),0),0)</f>
        <v>0</v>
      </c>
      <c r="J26" s="49">
        <f>IFERROR(IF(F9="YES",SAVING!K26/SUMIF(INCOME!$F$5:$F$18,"YES",SAVING!$K$22:$K$35),0),0)</f>
        <v>0</v>
      </c>
      <c r="K26" s="49">
        <f>IFERROR(IF(F9="YES",SAVING!L26/SUMIF(INCOME!$F$5:$F$18,"YES",SAVING!$L$22:$L$35),0),0)</f>
        <v>0</v>
      </c>
      <c r="L26" s="49">
        <f>IFERROR(IF(F9="YES",SAVING!M26/SUMIF(INCOME!$F$5:$F$18,"YES",SAVING!$M$22:$M$36),0),0)</f>
        <v>0</v>
      </c>
      <c r="M26" s="49">
        <f>IFERROR(IF(F9="YES",SAVING!N26/SUMIF(INCOME!$F$5:$F$18,"YES",SAVING!$N$22:$N$35),0),0)</f>
        <v>0</v>
      </c>
      <c r="N26" s="49">
        <f>IFERROR(IF(F9="YES",SAVING!O26/SUMIF(INCOME!$F$5:$F$18,"YES",SAVING!$O$22:$O$35),0),0)</f>
        <v>0</v>
      </c>
      <c r="O26" s="44">
        <f ca="1">IFERROR(IF(F9="YES",SAVING!P26/SUMIF(INCOME!$F$5:$F$178,"YES",SAVING!$P$22:$P$35),0),0)</f>
        <v>0</v>
      </c>
    </row>
    <row r="27" spans="3:15" x14ac:dyDescent="0.3">
      <c r="C27" s="15" t="s">
        <v>17</v>
      </c>
      <c r="D27" s="49">
        <f>IFERROR(IF(F10="YES",SAVING!E27/SUMIF($F$5:$F$18,"YES",SAVING!$E$22:$E$35),0),0)</f>
        <v>0</v>
      </c>
      <c r="E27" s="49">
        <f>IFERROR(IF(F10="YES",SAVING!F27/SUMIF(INCOME!$F$5:$F$18,"YES",SAVING!$F$22:$F$35),0),0)</f>
        <v>0</v>
      </c>
      <c r="F27" s="49">
        <f>IFERROR(IF(F10="YES",SAVING!G27/SUMIF(INCOME!$F$5:$F$18,"YES",SAVING!$G$22:$G$35),0),0)</f>
        <v>0</v>
      </c>
      <c r="G27" s="49">
        <f>IFERROR(IF(F10="YES",SAVING!H27/SUMIF(INCOME!$F$5:$F$18,"YES",SAVING!$H$22:$H$35),0),0)</f>
        <v>0</v>
      </c>
      <c r="H27" s="49">
        <f>IFERROR(IF(F10="YES",SAVING!I27/SUMIF(INCOME!$F$5:$F$18,"YES",SAVING!$I$22:$I$35),0),0)</f>
        <v>0</v>
      </c>
      <c r="I27" s="49">
        <f>IFERROR(IF(F10="YES",SAVING!J27/SUMIF(INCOME!$F$5:$F$18,"YES",SAVING!$J$22:$J$35),0),0)</f>
        <v>0</v>
      </c>
      <c r="J27" s="49">
        <f>IFERROR(IF(F10="YES",SAVING!K27/SUMIF(INCOME!$F$5:$F$18,"YES",SAVING!$K$22:$K$35),0),0)</f>
        <v>0</v>
      </c>
      <c r="K27" s="49">
        <f>IFERROR(IF(F10="YES",SAVING!L27/SUMIF(INCOME!$F$5:$F$18,"YES",SAVING!$L$22:$L$35),0),0)</f>
        <v>0</v>
      </c>
      <c r="L27" s="49">
        <f>IFERROR(IF(F10="YES",SAVING!M27/SUMIF(INCOME!$F$5:$F$18,"YES",SAVING!$M$22:$M$36),0),0)</f>
        <v>0</v>
      </c>
      <c r="M27" s="49">
        <f>IFERROR(IF(F10="YES",SAVING!N27/SUMIF(INCOME!$F$5:$F$18,"YES",SAVING!$N$22:$N$35),0),0)</f>
        <v>0</v>
      </c>
      <c r="N27" s="49">
        <f>IFERROR(IF(F10="YES",SAVING!O27/SUMIF(INCOME!$F$5:$F$18,"YES",SAVING!$O$22:$O$35),0),0)</f>
        <v>0</v>
      </c>
      <c r="O27" s="44">
        <f ca="1">IFERROR(IF(F10="YES",SAVING!P27/SUMIF(INCOME!$F$5:$F$178,"YES",SAVING!$P$22:$P$35),0),0)</f>
        <v>0</v>
      </c>
    </row>
    <row r="28" spans="3:15" x14ac:dyDescent="0.3">
      <c r="C28" s="15" t="s">
        <v>18</v>
      </c>
      <c r="D28" s="49">
        <f>IFERROR(IF(F11="YES",SAVING!E28/SUMIF($F$5:$F$18,"YES",SAVING!$E$22:$E$35),0),0)</f>
        <v>0</v>
      </c>
      <c r="E28" s="49">
        <f>IFERROR(IF(F11="YES",SAVING!F28/SUMIF(INCOME!$F$5:$F$18,"YES",SAVING!$F$22:$F$35),0),0)</f>
        <v>0</v>
      </c>
      <c r="F28" s="49">
        <f>IFERROR(IF(F11="YES",SAVING!G28/SUMIF(INCOME!$F$5:$F$18,"YES",SAVING!$G$22:$G$35),0),0)</f>
        <v>0</v>
      </c>
      <c r="G28" s="49">
        <f>IFERROR(IF(F11="YES",SAVING!H28/SUMIF(INCOME!$F$5:$F$18,"YES",SAVING!$H$22:$H$35),0),0)</f>
        <v>0</v>
      </c>
      <c r="H28" s="49">
        <f>IFERROR(IF(F11="YES",SAVING!I28/SUMIF(INCOME!$F$5:$F$18,"YES",SAVING!$I$22:$I$35),0),0)</f>
        <v>0</v>
      </c>
      <c r="I28" s="49">
        <f>IFERROR(IF(F11="YES",SAVING!J28/SUMIF(INCOME!$F$5:$F$18,"YES",SAVING!$J$22:$J$35),0),0)</f>
        <v>0</v>
      </c>
      <c r="J28" s="49">
        <f>IFERROR(IF(F11="YES",SAVING!K28/SUMIF(INCOME!$F$5:$F$18,"YES",SAVING!$K$22:$K$35),0),0)</f>
        <v>0</v>
      </c>
      <c r="K28" s="49">
        <f>IFERROR(IF(F11="YES",SAVING!L28/SUMIF(INCOME!$F$5:$F$18,"YES",SAVING!$L$22:$L$35),0),0)</f>
        <v>0</v>
      </c>
      <c r="L28" s="49">
        <f>IFERROR(IF(F11="YES",SAVING!M28/SUMIF(INCOME!$F$5:$F$18,"YES",SAVING!$M$22:$M$36),0),0)</f>
        <v>0</v>
      </c>
      <c r="M28" s="49">
        <f>IFERROR(IF(F11="YES",SAVING!N28/SUMIF(INCOME!$F$5:$F$18,"YES",SAVING!$N$22:$N$35),0),0)</f>
        <v>0</v>
      </c>
      <c r="N28" s="49">
        <f>IFERROR(IF(F11="YES",SAVING!O28/SUMIF(INCOME!$F$5:$F$18,"YES",SAVING!$O$22:$O$35),0),0)</f>
        <v>0</v>
      </c>
      <c r="O28" s="44">
        <f ca="1">IFERROR(IF(F11="YES",SAVING!P28/SUMIF(INCOME!$F$5:$F$178,"YES",SAVING!$P$22:$P$35),0),0)</f>
        <v>0</v>
      </c>
    </row>
    <row r="29" spans="3:15" x14ac:dyDescent="0.3">
      <c r="C29" s="15" t="s">
        <v>52</v>
      </c>
      <c r="D29" s="49">
        <f>IFERROR(IF(F12="YES",SAVING!E29/SUMIF($F$5:$F$18,"YES",SAVING!$E$22:$E$35),0),0)</f>
        <v>0</v>
      </c>
      <c r="E29" s="49">
        <f>IFERROR(IF(F12="YES",SAVING!F29/SUMIF(INCOME!$F$5:$F$18,"YES",SAVING!$F$22:$F$35),0),0)</f>
        <v>0</v>
      </c>
      <c r="F29" s="49">
        <f>IFERROR(IF(F12="YES",SAVING!G29/SUMIF(INCOME!$F$5:$F$18,"YES",SAVING!$G$22:$G$35),0),0)</f>
        <v>0</v>
      </c>
      <c r="G29" s="49">
        <f>IFERROR(IF(F12="YES",SAVING!H29/SUMIF(INCOME!$F$5:$F$18,"YES",SAVING!$H$22:$H$35),0),0)</f>
        <v>0</v>
      </c>
      <c r="H29" s="49">
        <f>IFERROR(IF(F12="YES",SAVING!I29/SUMIF(INCOME!$F$5:$F$18,"YES",SAVING!$I$22:$I$35),0),0)</f>
        <v>0</v>
      </c>
      <c r="I29" s="49">
        <f>IFERROR(IF(F12="YES",SAVING!J29/SUMIF(INCOME!$F$5:$F$18,"YES",SAVING!$J$22:$J$35),0),0)</f>
        <v>0</v>
      </c>
      <c r="J29" s="49">
        <f>IFERROR(IF(F12="YES",SAVING!K29/SUMIF(INCOME!$F$5:$F$18,"YES",SAVING!$K$22:$K$35),0),0)</f>
        <v>0</v>
      </c>
      <c r="K29" s="49">
        <f>IFERROR(IF(F12="YES",SAVING!L29/SUMIF(INCOME!$F$5:$F$18,"YES",SAVING!$L$22:$L$35),0),0)</f>
        <v>0</v>
      </c>
      <c r="L29" s="49">
        <f>IFERROR(IF(F12="YES",SAVING!M29/SUMIF(INCOME!$F$5:$F$18,"YES",SAVING!$M$22:$M$36),0),0)</f>
        <v>0</v>
      </c>
      <c r="M29" s="49">
        <f>IFERROR(IF(F12="YES",SAVING!N29/SUMIF(INCOME!$F$5:$F$18,"YES",SAVING!$N$22:$N$35),0),0)</f>
        <v>0</v>
      </c>
      <c r="N29" s="49">
        <f>IFERROR(IF(F12="YES",SAVING!O29/SUMIF(INCOME!$F$5:$F$18,"YES",SAVING!$O$22:$O$35),0),0)</f>
        <v>0</v>
      </c>
      <c r="O29" s="44">
        <f ca="1">IFERROR(IF(F12="YES",SAVING!P29/SUMIF(INCOME!$F$5:$F$178,"YES",SAVING!$P$22:$P$35),0),0)</f>
        <v>0</v>
      </c>
    </row>
    <row r="30" spans="3:15" x14ac:dyDescent="0.3">
      <c r="C30" s="15" t="s">
        <v>19</v>
      </c>
      <c r="D30" s="49">
        <f>IFERROR(IF(F13="YES",SAVING!E30/SUMIF($F$5:$F$18,"YES",SAVING!$E$22:$E$35),0),0)</f>
        <v>0</v>
      </c>
      <c r="E30" s="49">
        <f>IFERROR(IF(F13="YES",SAVING!F30/SUMIF(INCOME!$F$5:$F$18,"YES",SAVING!$F$22:$F$35),0),0)</f>
        <v>0</v>
      </c>
      <c r="F30" s="49">
        <f>IFERROR(IF(F13="YES",SAVING!G30/SUMIF(INCOME!$F$5:$F$18,"YES",SAVING!$G$22:$G$35),0),0)</f>
        <v>0</v>
      </c>
      <c r="G30" s="49">
        <f>IFERROR(IF(F13="YES",SAVING!H30/SUMIF(INCOME!$F$5:$F$18,"YES",SAVING!$H$22:$H$35),0),0)</f>
        <v>0</v>
      </c>
      <c r="H30" s="49">
        <f>IFERROR(IF(F13="YES",SAVING!I30/SUMIF(INCOME!$F$5:$F$18,"YES",SAVING!$I$22:$I$35),0),0)</f>
        <v>0</v>
      </c>
      <c r="I30" s="49">
        <f>IFERROR(IF(F13="YES",SAVING!J30/SUMIF(INCOME!$F$5:$F$18,"YES",SAVING!$J$22:$J$35),0),0)</f>
        <v>0</v>
      </c>
      <c r="J30" s="49">
        <f>IFERROR(IF(F13="YES",SAVING!K30/SUMIF(INCOME!$F$5:$F$18,"YES",SAVING!$K$22:$K$35),0),0)</f>
        <v>0</v>
      </c>
      <c r="K30" s="49">
        <f>IFERROR(IF(F13="YES",SAVING!L30/SUMIF(INCOME!$F$5:$F$18,"YES",SAVING!$L$22:$L$35),0),0)</f>
        <v>0</v>
      </c>
      <c r="L30" s="49">
        <f>IFERROR(IF(F13="YES",SAVING!M30/SUMIF(INCOME!$F$5:$F$18,"YES",SAVING!$M$22:$M$36),0),0)</f>
        <v>0</v>
      </c>
      <c r="M30" s="49">
        <f>IFERROR(IF(F13="YES",SAVING!N30/SUMIF(INCOME!$F$5:$F$18,"YES",SAVING!$N$22:$N$35),0),0)</f>
        <v>0</v>
      </c>
      <c r="N30" s="49">
        <f>IFERROR(IF(F13="YES",SAVING!O30/SUMIF(INCOME!$F$5:$F$18,"YES",SAVING!$O$22:$O$35),0),0)</f>
        <v>0</v>
      </c>
      <c r="O30" s="44">
        <f ca="1">IFERROR(IF(F13="YES",SAVING!P30/SUMIF(INCOME!$F$5:$F$178,"YES",SAVING!$P$22:$P$35),0),0)</f>
        <v>0</v>
      </c>
    </row>
    <row r="31" spans="3:15" x14ac:dyDescent="0.3">
      <c r="C31" s="15" t="s">
        <v>20</v>
      </c>
      <c r="D31" s="49">
        <f>IFERROR(IF(F14="YES",SAVING!E31/SUMIF($F$5:$F$18,"YES",SAVING!$E$22:$E$35),0),0)</f>
        <v>0</v>
      </c>
      <c r="E31" s="49">
        <f>IFERROR(IF(F14="YES",SAVING!F31/SUMIF(INCOME!$F$5:$F$18,"YES",SAVING!$F$22:$F$35),0),0)</f>
        <v>0</v>
      </c>
      <c r="F31" s="49">
        <f>IFERROR(IF(F14="YES",SAVING!G31/SUMIF(INCOME!$F$5:$F$18,"YES",SAVING!$G$22:$G$35),0),0)</f>
        <v>0</v>
      </c>
      <c r="G31" s="49">
        <f>IFERROR(IF(F14="YES",SAVING!H31/SUMIF(INCOME!$F$5:$F$18,"YES",SAVING!$H$22:$H$35),0),0)</f>
        <v>0</v>
      </c>
      <c r="H31" s="49">
        <f>IFERROR(IF(F14="YES",SAVING!I31/SUMIF(INCOME!$F$5:$F$18,"YES",SAVING!$I$22:$I$35),0),0)</f>
        <v>0</v>
      </c>
      <c r="I31" s="49">
        <f>IFERROR(IF(F14="YES",SAVING!J31/SUMIF(INCOME!$F$5:$F$18,"YES",SAVING!$J$22:$J$35),0),0)</f>
        <v>0</v>
      </c>
      <c r="J31" s="49">
        <f>IFERROR(IF(F14="YES",SAVING!K31/SUMIF(INCOME!$F$5:$F$18,"YES",SAVING!$K$22:$K$35),0),0)</f>
        <v>0</v>
      </c>
      <c r="K31" s="49">
        <f>IFERROR(IF(F14="YES",SAVING!L31/SUMIF(INCOME!$F$5:$F$18,"YES",SAVING!$L$22:$L$35),0),0)</f>
        <v>0</v>
      </c>
      <c r="L31" s="49">
        <f>IFERROR(IF(F14="YES",SAVING!M31/SUMIF(INCOME!$F$5:$F$18,"YES",SAVING!$M$22:$M$36),0),0)</f>
        <v>0</v>
      </c>
      <c r="M31" s="49">
        <f>IFERROR(IF(F14="YES",SAVING!N31/SUMIF(INCOME!$F$5:$F$18,"YES",SAVING!$N$22:$N$35),0),0)</f>
        <v>0</v>
      </c>
      <c r="N31" s="49">
        <f>IFERROR(IF(F14="YES",SAVING!O31/SUMIF(INCOME!$F$5:$F$18,"YES",SAVING!$O$22:$O$35),0),0)</f>
        <v>0</v>
      </c>
      <c r="O31" s="44">
        <f ca="1">IFERROR(IF(F14="YES",SAVING!P31/SUMIF(INCOME!$F$5:$F$178,"YES",SAVING!$P$22:$P$35),0),0)</f>
        <v>0</v>
      </c>
    </row>
    <row r="32" spans="3:15" x14ac:dyDescent="0.3">
      <c r="C32" s="15" t="s">
        <v>21</v>
      </c>
      <c r="D32" s="49">
        <f>IFERROR(IF(F15="YES",SAVING!E32/SUMIF($F$5:$F$18,"YES",SAVING!$E$22:$E$35),0),0)</f>
        <v>0</v>
      </c>
      <c r="E32" s="49">
        <f>IFERROR(IF(F15="YES",SAVING!F32/SUMIF(INCOME!$F$5:$F$18,"YES",SAVING!$F$22:$F$35),0),0)</f>
        <v>0</v>
      </c>
      <c r="F32" s="49">
        <f>IFERROR(IF(F15="YES",SAVING!G32/SUMIF(INCOME!$F$5:$F$18,"YES",SAVING!$G$22:$G$35),0),0)</f>
        <v>0</v>
      </c>
      <c r="G32" s="49">
        <f>IFERROR(IF(F15="YES",SAVING!H32/SUMIF(INCOME!$F$5:$F$18,"YES",SAVING!$H$22:$H$35),0),0)</f>
        <v>0</v>
      </c>
      <c r="H32" s="49">
        <f>IFERROR(IF(F15="YES",SAVING!I32/SUMIF(INCOME!$F$5:$F$18,"YES",SAVING!$I$22:$I$35),0),0)</f>
        <v>0</v>
      </c>
      <c r="I32" s="49">
        <f>IFERROR(IF(F15="YES",SAVING!J32/SUMIF(INCOME!$F$5:$F$18,"YES",SAVING!$J$22:$J$35),0),0)</f>
        <v>0</v>
      </c>
      <c r="J32" s="49">
        <f>IFERROR(IF(F15="YES",SAVING!K32/SUMIF(INCOME!$F$5:$F$18,"YES",SAVING!$K$22:$K$35),0),0)</f>
        <v>0</v>
      </c>
      <c r="K32" s="49">
        <f>IFERROR(IF(F15="YES",SAVING!L32/SUMIF(INCOME!$F$5:$F$18,"YES",SAVING!$L$22:$L$35),0),0)</f>
        <v>0</v>
      </c>
      <c r="L32" s="49">
        <f>IFERROR(IF(F15="YES",SAVING!M32/SUMIF(INCOME!$F$5:$F$18,"YES",SAVING!$M$22:$M$36),0),0)</f>
        <v>0</v>
      </c>
      <c r="M32" s="49">
        <f>IFERROR(IF(F15="YES",SAVING!N32/SUMIF(INCOME!$F$5:$F$18,"YES",SAVING!$N$22:$N$35),0),0)</f>
        <v>0</v>
      </c>
      <c r="N32" s="49">
        <f>IFERROR(IF(F15="YES",SAVING!O32/SUMIF(INCOME!$F$5:$F$18,"YES",SAVING!$O$22:$O$35),0),0)</f>
        <v>0</v>
      </c>
      <c r="O32" s="44">
        <f ca="1">IFERROR(IF(F15="YES",SAVING!P32/SUMIF(INCOME!$F$5:$F$178,"YES",SAVING!$P$22:$P$35),0),0)</f>
        <v>0</v>
      </c>
    </row>
    <row r="33" spans="3:15" x14ac:dyDescent="0.3">
      <c r="C33" s="15" t="s">
        <v>40</v>
      </c>
      <c r="D33" s="49">
        <f>IFERROR(IF(F16="YES",SAVING!E33/SUMIF($F$5:$F$18,"YES",SAVING!$E$22:$E$35),0),0)</f>
        <v>0</v>
      </c>
      <c r="E33" s="49">
        <f>IFERROR(IF(F16="YES",SAVING!F33/SUMIF(INCOME!$F$5:$F$18,"YES",SAVING!$F$22:$F$35),0),0)</f>
        <v>0</v>
      </c>
      <c r="F33" s="49">
        <f>IFERROR(IF(F16="YES",SAVING!G33/SUMIF(INCOME!$F$5:$F$18,"YES",SAVING!$G$22:$G$35),0),0)</f>
        <v>0</v>
      </c>
      <c r="G33" s="49">
        <f>IFERROR(IF(F16="YES",SAVING!H33/SUMIF(INCOME!$F$5:$F$18,"YES",SAVING!$H$22:$H$35),0),0)</f>
        <v>0</v>
      </c>
      <c r="H33" s="49">
        <f>IFERROR(IF(F16="YES",SAVING!I33/SUMIF(INCOME!$F$5:$F$18,"YES",SAVING!$I$22:$I$35),0),0)</f>
        <v>0</v>
      </c>
      <c r="I33" s="49">
        <f>IFERROR(IF(F16="YES",SAVING!J33/SUMIF(INCOME!$F$5:$F$18,"YES",SAVING!$J$22:$J$35),0),0)</f>
        <v>0</v>
      </c>
      <c r="J33" s="49">
        <f>IFERROR(IF(F16="YES",SAVING!K33/SUMIF(INCOME!$F$5:$F$18,"YES",SAVING!$K$22:$K$35),0),0)</f>
        <v>0</v>
      </c>
      <c r="K33" s="49">
        <f>IFERROR(IF(F16="YES",SAVING!L33/SUMIF(INCOME!$F$5:$F$18,"YES",SAVING!$L$22:$L$35),0),0)</f>
        <v>0</v>
      </c>
      <c r="L33" s="49">
        <f>IFERROR(IF(F16="YES",SAVING!M33/SUMIF(INCOME!$F$5:$F$18,"YES",SAVING!$M$22:$M$36),0),0)</f>
        <v>0</v>
      </c>
      <c r="M33" s="49">
        <f>IFERROR(IF(F16="YES",SAVING!N33/SUMIF(INCOME!$F$5:$F$18,"YES",SAVING!$N$22:$N$35),0),0)</f>
        <v>0</v>
      </c>
      <c r="N33" s="49">
        <f>IFERROR(IF(F16="YES",SAVING!O33/SUMIF(INCOME!$F$5:$F$18,"YES",SAVING!$O$22:$O$35),0),0)</f>
        <v>0</v>
      </c>
      <c r="O33" s="44">
        <f ca="1">IFERROR(IF(F16="YES",SAVING!P33/SUMIF(INCOME!$F$5:$F$178,"YES",SAVING!$P$22:$P$35),0),0)</f>
        <v>0</v>
      </c>
    </row>
    <row r="34" spans="3:15" ht="15" thickBot="1" x14ac:dyDescent="0.35">
      <c r="C34" s="17" t="s">
        <v>53</v>
      </c>
      <c r="D34" s="49">
        <f>IFERROR(IF(F17="YES",SAVING!E34/SUMIF($F$5:$F$18,"YES",SAVING!$E$22:$E$35),0),0)</f>
        <v>0</v>
      </c>
      <c r="E34" s="49">
        <f>IFERROR(IF(F17="YES",SAVING!F34/SUMIF(INCOME!$F$5:$F$18,"YES",SAVING!$F$22:$F$35),0),0)</f>
        <v>0</v>
      </c>
      <c r="F34" s="49">
        <f>IFERROR(IF(F17="YES",SAVING!G34/SUMIF(INCOME!$F$5:$F$18,"YES",SAVING!$G$22:$G$35),0),0)</f>
        <v>0</v>
      </c>
      <c r="G34" s="49">
        <f>IFERROR(IF(F17="YES",SAVING!H34/SUMIF(INCOME!$F$5:$F$18,"YES",SAVING!$H$22:$H$35),0),0)</f>
        <v>0</v>
      </c>
      <c r="H34" s="49">
        <f>IFERROR(IF(F17="YES",SAVING!I34/SUMIF(INCOME!$F$5:$F$18,"YES",SAVING!$I$22:$I$35),0),0)</f>
        <v>0</v>
      </c>
      <c r="I34" s="49">
        <f>IFERROR(IF(F17="YES",SAVING!J34/SUMIF(INCOME!$F$5:$F$18,"YES",SAVING!$J$22:$J$35),0),0)</f>
        <v>0</v>
      </c>
      <c r="J34" s="49">
        <f>IFERROR(IF(F17="YES",SAVING!K34/SUMIF(INCOME!$F$5:$F$18,"YES",SAVING!$K$22:$K$35),0),0)</f>
        <v>0</v>
      </c>
      <c r="K34" s="49">
        <f>IFERROR(IF(F17="YES",SAVING!L34/SUMIF(INCOME!$F$5:$F$18,"YES",SAVING!$L$22:$L$35),0),0)</f>
        <v>0</v>
      </c>
      <c r="L34" s="49">
        <f>IFERROR(IF(F17="YES",SAVING!M34/SUMIF(INCOME!$F$5:$F$18,"YES",SAVING!$M$22:$M$36),0),0)</f>
        <v>0</v>
      </c>
      <c r="M34" s="49">
        <f>IFERROR(IF(F17="YES",SAVING!N34/SUMIF(INCOME!$F$5:$F$18,"YES",SAVING!$N$22:$N$35),0),0)</f>
        <v>0</v>
      </c>
      <c r="N34" s="49">
        <f>IFERROR(IF(F17="YES",SAVING!O34/SUMIF(INCOME!$F$5:$F$18,"YES",SAVING!$O$22:$O$35),0),0)</f>
        <v>0</v>
      </c>
      <c r="O34" s="44">
        <f ca="1">IFERROR(IF(F17="YES",SAVING!P34/SUMIF(INCOME!$F$5:$F$178,"YES",SAVING!$P$22:$P$35),0),0)</f>
        <v>0</v>
      </c>
    </row>
    <row r="35" spans="3:15" ht="15" thickBot="1" x14ac:dyDescent="0.35">
      <c r="C35" s="17" t="s">
        <v>55</v>
      </c>
      <c r="D35" s="49">
        <f>IFERROR(IF(F18="YES",SAVING!E35/SUMIF($F$5:$F$18,"YES",SAVING!$E$22:$E$35),0),0)</f>
        <v>0</v>
      </c>
      <c r="E35" s="49">
        <f>IFERROR(IF(F18="YES",SAVING!F35/SUMIF(INCOME!$F$5:$F$18,"YES",SAVING!$F$22:$F$35),0),0)</f>
        <v>0</v>
      </c>
      <c r="F35" s="49">
        <f>IFERROR(IF(F18="YES",SAVING!G35/SUMIF(INCOME!$F$5:$F$18,"YES",SAVING!$G$22:$G$35),0),0)</f>
        <v>0</v>
      </c>
      <c r="G35" s="49">
        <f>IFERROR(IF(F18="YES",SAVING!H35/SUMIF(INCOME!$F$5:$F$18,"YES",SAVING!$H$22:$H$35),0),0)</f>
        <v>0</v>
      </c>
      <c r="H35" s="49">
        <f>IFERROR(IF(F18="YES",SAVING!I35/SUMIF(INCOME!$F$5:$F$18,"YES",SAVING!$I$22:$I$35),0),0)</f>
        <v>0</v>
      </c>
      <c r="I35" s="49">
        <f>IFERROR(IF(F18="YES",SAVING!J35/SUMIF(INCOME!$F$5:$F$18,"YES",SAVING!$J$22:$J$35),0),0)</f>
        <v>0</v>
      </c>
      <c r="J35" s="49">
        <f>IFERROR(IF(F18="YES",SAVING!K35/SUMIF(INCOME!$F$5:$F$18,"YES",SAVING!$K$22:$K$35),0),0)</f>
        <v>0</v>
      </c>
      <c r="K35" s="49">
        <f>IFERROR(IF(F18="YES",SAVING!L35/SUMIF(INCOME!$F$5:$F$18,"YES",SAVING!$L$22:$L$35),0),0)</f>
        <v>0</v>
      </c>
      <c r="L35" s="49">
        <f>IFERROR(IF(F18="YES",SAVING!M35/SUMIF(INCOME!$F$5:$F$18,"YES",SAVING!$M$22:$M$36),0),0)</f>
        <v>0</v>
      </c>
      <c r="M35" s="49">
        <f>IFERROR(IF(F18="YES",SAVING!N35/SUMIF(INCOME!$F$5:$F$18,"YES",SAVING!$N$22:$N$35),0),0)</f>
        <v>0</v>
      </c>
      <c r="N35" s="49">
        <f>IFERROR(IF(F18="YES",SAVING!O35/SUMIF(INCOME!$F$5:$F$18,"YES",SAVING!$O$22:$O$35),0),0)</f>
        <v>0</v>
      </c>
      <c r="O35" s="44">
        <f ca="1">IFERROR(IF(F18="YES",SAVING!P35/SUMIF(INCOME!$F$5:$F$178,"YES",SAVING!$P$22:$P$35),0),0)</f>
        <v>0</v>
      </c>
    </row>
    <row r="36" spans="3:15" ht="15" thickBot="1" x14ac:dyDescent="0.35"/>
    <row r="37" spans="3:15" ht="25.8" x14ac:dyDescent="0.5">
      <c r="C37" s="104" t="s">
        <v>49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6"/>
    </row>
    <row r="38" spans="3:15" x14ac:dyDescent="0.3">
      <c r="C38" s="18"/>
      <c r="D38" s="7" t="s">
        <v>0</v>
      </c>
      <c r="E38" s="7" t="s">
        <v>1</v>
      </c>
      <c r="F38" s="7" t="s">
        <v>2</v>
      </c>
      <c r="G38" s="7" t="s">
        <v>3</v>
      </c>
      <c r="H38" s="7" t="s">
        <v>4</v>
      </c>
      <c r="I38" s="7" t="s">
        <v>5</v>
      </c>
      <c r="J38" s="7" t="s">
        <v>6</v>
      </c>
      <c r="K38" s="7" t="s">
        <v>7</v>
      </c>
      <c r="L38" s="7" t="s">
        <v>8</v>
      </c>
      <c r="M38" s="7" t="s">
        <v>9</v>
      </c>
      <c r="N38" s="7" t="s">
        <v>10</v>
      </c>
      <c r="O38" s="16" t="s">
        <v>11</v>
      </c>
    </row>
    <row r="39" spans="3:15" x14ac:dyDescent="0.3">
      <c r="C39" s="15" t="s">
        <v>12</v>
      </c>
      <c r="D39" s="49">
        <f>IFERROR(D22*$I$5,0)</f>
        <v>0</v>
      </c>
      <c r="E39" s="49">
        <f>IFERROR(E22*$I$6,0)</f>
        <v>0</v>
      </c>
      <c r="F39" s="49">
        <f>IFERROR(F22*$I$7,0)</f>
        <v>0</v>
      </c>
      <c r="G39" s="49">
        <f>IFERROR(G22*$I$8,0)</f>
        <v>0</v>
      </c>
      <c r="H39" s="49">
        <f>IFERROR(H22*$I$9,0)</f>
        <v>0</v>
      </c>
      <c r="I39" s="49">
        <f>IFERROR(I22*$I$10,0)</f>
        <v>0</v>
      </c>
      <c r="J39" s="49">
        <f>IFERROR(J22*$I$11,0)</f>
        <v>0</v>
      </c>
      <c r="K39" s="49">
        <f>IFERROR(K22*$I$12,0)</f>
        <v>0</v>
      </c>
      <c r="L39" s="49">
        <f>IFERROR(L22*$I$13,0)</f>
        <v>0</v>
      </c>
      <c r="M39" s="49">
        <f>IFERROR(M22*$I$14,0)</f>
        <v>0</v>
      </c>
      <c r="N39" s="49">
        <f>IFERROR(N22*$I$15,0)</f>
        <v>0</v>
      </c>
      <c r="O39" s="44">
        <f ca="1">IFERROR(O22*$I$16,0)</f>
        <v>0</v>
      </c>
    </row>
    <row r="40" spans="3:15" x14ac:dyDescent="0.3">
      <c r="C40" s="15" t="s">
        <v>14</v>
      </c>
      <c r="D40" s="49">
        <f t="shared" ref="D40:D52" si="0">IFERROR(D23*$I$5,0)</f>
        <v>0</v>
      </c>
      <c r="E40" s="49">
        <f t="shared" ref="E40:E52" si="1">IFERROR(E23*$I$6,0)</f>
        <v>0</v>
      </c>
      <c r="F40" s="49">
        <f t="shared" ref="F40:F52" si="2">IFERROR(F23*$I$7,0)</f>
        <v>0</v>
      </c>
      <c r="G40" s="49">
        <f t="shared" ref="G40:G52" si="3">IFERROR(G23*$I$8,0)</f>
        <v>0</v>
      </c>
      <c r="H40" s="49">
        <f t="shared" ref="H40:H52" si="4">IFERROR(H23*$I$9,0)</f>
        <v>0</v>
      </c>
      <c r="I40" s="49">
        <f t="shared" ref="I40:I52" si="5">IFERROR(I23*$I$10,0)</f>
        <v>0</v>
      </c>
      <c r="J40" s="49">
        <f t="shared" ref="J40:J52" si="6">IFERROR(J23*$I$11,0)</f>
        <v>0</v>
      </c>
      <c r="K40" s="49">
        <f t="shared" ref="K40:K52" si="7">IFERROR(K23*$I$12,0)</f>
        <v>0</v>
      </c>
      <c r="L40" s="49">
        <f t="shared" ref="L40:L52" si="8">IFERROR(L23*$I$13,0)</f>
        <v>0</v>
      </c>
      <c r="M40" s="49">
        <f t="shared" ref="M40:M52" si="9">IFERROR(M23*$I$14,0)</f>
        <v>0</v>
      </c>
      <c r="N40" s="49">
        <f t="shared" ref="N40:N52" si="10">IFERROR(N23*$I$15,0)</f>
        <v>0</v>
      </c>
      <c r="O40" s="44">
        <f t="shared" ref="O40:O52" ca="1" si="11">IFERROR(O23*$I$16,0)</f>
        <v>0</v>
      </c>
    </row>
    <row r="41" spans="3:15" x14ac:dyDescent="0.3">
      <c r="C41" s="15" t="s">
        <v>13</v>
      </c>
      <c r="D41" s="49">
        <f t="shared" si="0"/>
        <v>0</v>
      </c>
      <c r="E41" s="49">
        <f t="shared" si="1"/>
        <v>0</v>
      </c>
      <c r="F41" s="49">
        <f t="shared" si="2"/>
        <v>0</v>
      </c>
      <c r="G41" s="49">
        <f t="shared" si="3"/>
        <v>0</v>
      </c>
      <c r="H41" s="49">
        <f t="shared" si="4"/>
        <v>0</v>
      </c>
      <c r="I41" s="49">
        <f t="shared" si="5"/>
        <v>0</v>
      </c>
      <c r="J41" s="49">
        <f t="shared" si="6"/>
        <v>0</v>
      </c>
      <c r="K41" s="49">
        <f t="shared" si="7"/>
        <v>0</v>
      </c>
      <c r="L41" s="49">
        <f t="shared" si="8"/>
        <v>0</v>
      </c>
      <c r="M41" s="49">
        <f t="shared" si="9"/>
        <v>0</v>
      </c>
      <c r="N41" s="49">
        <f t="shared" si="10"/>
        <v>0</v>
      </c>
      <c r="O41" s="44">
        <f t="shared" ca="1" si="11"/>
        <v>0</v>
      </c>
    </row>
    <row r="42" spans="3:15" x14ac:dyDescent="0.3">
      <c r="C42" s="15" t="s">
        <v>15</v>
      </c>
      <c r="D42" s="49">
        <f t="shared" si="0"/>
        <v>2000</v>
      </c>
      <c r="E42" s="49">
        <f t="shared" si="1"/>
        <v>2250</v>
      </c>
      <c r="F42" s="49">
        <f t="shared" si="2"/>
        <v>1500</v>
      </c>
      <c r="G42" s="49">
        <f t="shared" si="3"/>
        <v>2400</v>
      </c>
      <c r="H42" s="49">
        <f t="shared" si="4"/>
        <v>2080</v>
      </c>
      <c r="I42" s="49">
        <f t="shared" si="5"/>
        <v>0</v>
      </c>
      <c r="J42" s="49">
        <f t="shared" si="6"/>
        <v>2020</v>
      </c>
      <c r="K42" s="49">
        <f t="shared" si="7"/>
        <v>2002</v>
      </c>
      <c r="L42" s="49">
        <f t="shared" si="8"/>
        <v>0</v>
      </c>
      <c r="M42" s="49">
        <f t="shared" si="9"/>
        <v>0</v>
      </c>
      <c r="N42" s="49">
        <f t="shared" si="10"/>
        <v>0</v>
      </c>
      <c r="O42" s="44">
        <f t="shared" ca="1" si="11"/>
        <v>0</v>
      </c>
    </row>
    <row r="43" spans="3:15" x14ac:dyDescent="0.3">
      <c r="C43" s="15" t="s">
        <v>16</v>
      </c>
      <c r="D43" s="49">
        <f t="shared" si="0"/>
        <v>0</v>
      </c>
      <c r="E43" s="49">
        <f t="shared" si="1"/>
        <v>0</v>
      </c>
      <c r="F43" s="49">
        <f t="shared" si="2"/>
        <v>0</v>
      </c>
      <c r="G43" s="49">
        <f t="shared" si="3"/>
        <v>0</v>
      </c>
      <c r="H43" s="49">
        <f t="shared" si="4"/>
        <v>0</v>
      </c>
      <c r="I43" s="49">
        <f t="shared" si="5"/>
        <v>0</v>
      </c>
      <c r="J43" s="49">
        <f t="shared" si="6"/>
        <v>0</v>
      </c>
      <c r="K43" s="49">
        <f t="shared" si="7"/>
        <v>0</v>
      </c>
      <c r="L43" s="49">
        <f t="shared" si="8"/>
        <v>0</v>
      </c>
      <c r="M43" s="49">
        <f t="shared" si="9"/>
        <v>0</v>
      </c>
      <c r="N43" s="49">
        <f t="shared" si="10"/>
        <v>0</v>
      </c>
      <c r="O43" s="44">
        <f t="shared" ca="1" si="11"/>
        <v>0</v>
      </c>
    </row>
    <row r="44" spans="3:15" x14ac:dyDescent="0.3">
      <c r="C44" s="15" t="s">
        <v>17</v>
      </c>
      <c r="D44" s="49">
        <f t="shared" si="0"/>
        <v>0</v>
      </c>
      <c r="E44" s="49">
        <f t="shared" si="1"/>
        <v>0</v>
      </c>
      <c r="F44" s="49">
        <f t="shared" si="2"/>
        <v>0</v>
      </c>
      <c r="G44" s="49">
        <f t="shared" si="3"/>
        <v>0</v>
      </c>
      <c r="H44" s="49">
        <f t="shared" si="4"/>
        <v>0</v>
      </c>
      <c r="I44" s="49">
        <f t="shared" si="5"/>
        <v>0</v>
      </c>
      <c r="J44" s="49">
        <f t="shared" si="6"/>
        <v>0</v>
      </c>
      <c r="K44" s="49">
        <f t="shared" si="7"/>
        <v>0</v>
      </c>
      <c r="L44" s="49">
        <f t="shared" si="8"/>
        <v>0</v>
      </c>
      <c r="M44" s="49">
        <f t="shared" si="9"/>
        <v>0</v>
      </c>
      <c r="N44" s="49">
        <f t="shared" si="10"/>
        <v>0</v>
      </c>
      <c r="O44" s="44">
        <f t="shared" ca="1" si="11"/>
        <v>0</v>
      </c>
    </row>
    <row r="45" spans="3:15" x14ac:dyDescent="0.3">
      <c r="C45" s="15" t="s">
        <v>18</v>
      </c>
      <c r="D45" s="49">
        <f t="shared" si="0"/>
        <v>0</v>
      </c>
      <c r="E45" s="49">
        <f t="shared" si="1"/>
        <v>0</v>
      </c>
      <c r="F45" s="49">
        <f t="shared" si="2"/>
        <v>0</v>
      </c>
      <c r="G45" s="49">
        <f t="shared" si="3"/>
        <v>0</v>
      </c>
      <c r="H45" s="49">
        <f t="shared" si="4"/>
        <v>0</v>
      </c>
      <c r="I45" s="49">
        <f t="shared" si="5"/>
        <v>0</v>
      </c>
      <c r="J45" s="49">
        <f t="shared" si="6"/>
        <v>0</v>
      </c>
      <c r="K45" s="49">
        <f t="shared" si="7"/>
        <v>0</v>
      </c>
      <c r="L45" s="49">
        <f t="shared" si="8"/>
        <v>0</v>
      </c>
      <c r="M45" s="49">
        <f t="shared" si="9"/>
        <v>0</v>
      </c>
      <c r="N45" s="49">
        <f t="shared" si="10"/>
        <v>0</v>
      </c>
      <c r="O45" s="44">
        <f t="shared" ca="1" si="11"/>
        <v>0</v>
      </c>
    </row>
    <row r="46" spans="3:15" x14ac:dyDescent="0.3">
      <c r="C46" s="15" t="s">
        <v>52</v>
      </c>
      <c r="D46" s="49">
        <f t="shared" si="0"/>
        <v>0</v>
      </c>
      <c r="E46" s="49">
        <f t="shared" si="1"/>
        <v>0</v>
      </c>
      <c r="F46" s="49">
        <f t="shared" si="2"/>
        <v>0</v>
      </c>
      <c r="G46" s="49">
        <f t="shared" si="3"/>
        <v>0</v>
      </c>
      <c r="H46" s="49">
        <f t="shared" si="4"/>
        <v>0</v>
      </c>
      <c r="I46" s="49">
        <f t="shared" si="5"/>
        <v>0</v>
      </c>
      <c r="J46" s="49">
        <f t="shared" si="6"/>
        <v>0</v>
      </c>
      <c r="K46" s="49">
        <f t="shared" si="7"/>
        <v>0</v>
      </c>
      <c r="L46" s="49">
        <f t="shared" si="8"/>
        <v>0</v>
      </c>
      <c r="M46" s="49">
        <f t="shared" si="9"/>
        <v>0</v>
      </c>
      <c r="N46" s="49">
        <f t="shared" si="10"/>
        <v>0</v>
      </c>
      <c r="O46" s="44">
        <f t="shared" ca="1" si="11"/>
        <v>0</v>
      </c>
    </row>
    <row r="47" spans="3:15" x14ac:dyDescent="0.3">
      <c r="C47" s="15" t="s">
        <v>19</v>
      </c>
      <c r="D47" s="49">
        <f t="shared" si="0"/>
        <v>0</v>
      </c>
      <c r="E47" s="49">
        <f t="shared" si="1"/>
        <v>0</v>
      </c>
      <c r="F47" s="49">
        <f t="shared" si="2"/>
        <v>0</v>
      </c>
      <c r="G47" s="49">
        <f t="shared" si="3"/>
        <v>0</v>
      </c>
      <c r="H47" s="49">
        <f t="shared" si="4"/>
        <v>0</v>
      </c>
      <c r="I47" s="49">
        <f t="shared" si="5"/>
        <v>0</v>
      </c>
      <c r="J47" s="49">
        <f t="shared" si="6"/>
        <v>0</v>
      </c>
      <c r="K47" s="49">
        <f t="shared" si="7"/>
        <v>0</v>
      </c>
      <c r="L47" s="49">
        <f t="shared" si="8"/>
        <v>0</v>
      </c>
      <c r="M47" s="49">
        <f t="shared" si="9"/>
        <v>0</v>
      </c>
      <c r="N47" s="49">
        <f t="shared" si="10"/>
        <v>0</v>
      </c>
      <c r="O47" s="44">
        <f t="shared" ca="1" si="11"/>
        <v>0</v>
      </c>
    </row>
    <row r="48" spans="3:15" x14ac:dyDescent="0.3">
      <c r="C48" s="15" t="s">
        <v>20</v>
      </c>
      <c r="D48" s="49">
        <f t="shared" si="0"/>
        <v>0</v>
      </c>
      <c r="E48" s="49">
        <f t="shared" si="1"/>
        <v>0</v>
      </c>
      <c r="F48" s="49">
        <f t="shared" si="2"/>
        <v>0</v>
      </c>
      <c r="G48" s="49">
        <f t="shared" si="3"/>
        <v>0</v>
      </c>
      <c r="H48" s="49">
        <f t="shared" si="4"/>
        <v>0</v>
      </c>
      <c r="I48" s="49">
        <f t="shared" si="5"/>
        <v>0</v>
      </c>
      <c r="J48" s="49">
        <f t="shared" si="6"/>
        <v>0</v>
      </c>
      <c r="K48" s="49">
        <f t="shared" si="7"/>
        <v>0</v>
      </c>
      <c r="L48" s="49">
        <f t="shared" si="8"/>
        <v>0</v>
      </c>
      <c r="M48" s="49">
        <f t="shared" si="9"/>
        <v>0</v>
      </c>
      <c r="N48" s="49">
        <f t="shared" si="10"/>
        <v>0</v>
      </c>
      <c r="O48" s="44">
        <f t="shared" ca="1" si="11"/>
        <v>0</v>
      </c>
    </row>
    <row r="49" spans="3:15" x14ac:dyDescent="0.3">
      <c r="C49" s="15" t="s">
        <v>21</v>
      </c>
      <c r="D49" s="49">
        <f t="shared" si="0"/>
        <v>0</v>
      </c>
      <c r="E49" s="49">
        <f t="shared" si="1"/>
        <v>0</v>
      </c>
      <c r="F49" s="49">
        <f t="shared" si="2"/>
        <v>0</v>
      </c>
      <c r="G49" s="49">
        <f t="shared" si="3"/>
        <v>0</v>
      </c>
      <c r="H49" s="49">
        <f t="shared" si="4"/>
        <v>0</v>
      </c>
      <c r="I49" s="49">
        <f t="shared" si="5"/>
        <v>0</v>
      </c>
      <c r="J49" s="49">
        <f t="shared" si="6"/>
        <v>0</v>
      </c>
      <c r="K49" s="49">
        <f t="shared" si="7"/>
        <v>0</v>
      </c>
      <c r="L49" s="49">
        <f t="shared" si="8"/>
        <v>0</v>
      </c>
      <c r="M49" s="49">
        <f t="shared" si="9"/>
        <v>0</v>
      </c>
      <c r="N49" s="49">
        <f t="shared" si="10"/>
        <v>0</v>
      </c>
      <c r="O49" s="44">
        <f t="shared" ca="1" si="11"/>
        <v>0</v>
      </c>
    </row>
    <row r="50" spans="3:15" x14ac:dyDescent="0.3">
      <c r="C50" s="15" t="s">
        <v>40</v>
      </c>
      <c r="D50" s="49">
        <f t="shared" si="0"/>
        <v>0</v>
      </c>
      <c r="E50" s="49">
        <f t="shared" si="1"/>
        <v>0</v>
      </c>
      <c r="F50" s="49">
        <f t="shared" si="2"/>
        <v>0</v>
      </c>
      <c r="G50" s="49">
        <f t="shared" si="3"/>
        <v>0</v>
      </c>
      <c r="H50" s="49">
        <f t="shared" si="4"/>
        <v>0</v>
      </c>
      <c r="I50" s="49">
        <f t="shared" si="5"/>
        <v>0</v>
      </c>
      <c r="J50" s="49">
        <f t="shared" si="6"/>
        <v>0</v>
      </c>
      <c r="K50" s="49">
        <f t="shared" si="7"/>
        <v>0</v>
      </c>
      <c r="L50" s="49">
        <f t="shared" si="8"/>
        <v>0</v>
      </c>
      <c r="M50" s="49">
        <f t="shared" si="9"/>
        <v>0</v>
      </c>
      <c r="N50" s="49">
        <f t="shared" si="10"/>
        <v>0</v>
      </c>
      <c r="O50" s="44">
        <f t="shared" ca="1" si="11"/>
        <v>0</v>
      </c>
    </row>
    <row r="51" spans="3:15" x14ac:dyDescent="0.3">
      <c r="C51" s="15" t="s">
        <v>53</v>
      </c>
      <c r="D51" s="49">
        <f t="shared" si="0"/>
        <v>0</v>
      </c>
      <c r="E51" s="49">
        <f t="shared" si="1"/>
        <v>0</v>
      </c>
      <c r="F51" s="49">
        <f t="shared" si="2"/>
        <v>0</v>
      </c>
      <c r="G51" s="49">
        <f t="shared" si="3"/>
        <v>0</v>
      </c>
      <c r="H51" s="49">
        <f t="shared" si="4"/>
        <v>0</v>
      </c>
      <c r="I51" s="49">
        <f t="shared" si="5"/>
        <v>0</v>
      </c>
      <c r="J51" s="49">
        <f t="shared" si="6"/>
        <v>0</v>
      </c>
      <c r="K51" s="49">
        <f t="shared" si="7"/>
        <v>0</v>
      </c>
      <c r="L51" s="49">
        <f t="shared" si="8"/>
        <v>0</v>
      </c>
      <c r="M51" s="49">
        <f t="shared" si="9"/>
        <v>0</v>
      </c>
      <c r="N51" s="49">
        <f t="shared" si="10"/>
        <v>0</v>
      </c>
      <c r="O51" s="44">
        <f t="shared" ca="1" si="11"/>
        <v>0</v>
      </c>
    </row>
    <row r="52" spans="3:15" ht="15" thickBot="1" x14ac:dyDescent="0.35">
      <c r="C52" s="17" t="s">
        <v>55</v>
      </c>
      <c r="D52" s="49">
        <f t="shared" si="0"/>
        <v>0</v>
      </c>
      <c r="E52" s="49">
        <f t="shared" si="1"/>
        <v>0</v>
      </c>
      <c r="F52" s="49">
        <f t="shared" si="2"/>
        <v>0</v>
      </c>
      <c r="G52" s="49">
        <f t="shared" si="3"/>
        <v>0</v>
      </c>
      <c r="H52" s="49">
        <f t="shared" si="4"/>
        <v>0</v>
      </c>
      <c r="I52" s="49">
        <f t="shared" si="5"/>
        <v>0</v>
      </c>
      <c r="J52" s="49">
        <f t="shared" si="6"/>
        <v>0</v>
      </c>
      <c r="K52" s="49">
        <f t="shared" si="7"/>
        <v>0</v>
      </c>
      <c r="L52" s="49">
        <f t="shared" si="8"/>
        <v>0</v>
      </c>
      <c r="M52" s="49">
        <f t="shared" si="9"/>
        <v>0</v>
      </c>
      <c r="N52" s="49">
        <f t="shared" si="10"/>
        <v>0</v>
      </c>
      <c r="O52" s="44">
        <f t="shared" ca="1" si="11"/>
        <v>0</v>
      </c>
    </row>
  </sheetData>
  <mergeCells count="32">
    <mergeCell ref="D12:E12"/>
    <mergeCell ref="M12:N12"/>
    <mergeCell ref="M13:N13"/>
    <mergeCell ref="M14:N14"/>
    <mergeCell ref="M6:N6"/>
    <mergeCell ref="M7:N7"/>
    <mergeCell ref="M8:N8"/>
    <mergeCell ref="M9:N9"/>
    <mergeCell ref="D8:E8"/>
    <mergeCell ref="D9:E9"/>
    <mergeCell ref="D10:E10"/>
    <mergeCell ref="D11:E11"/>
    <mergeCell ref="C2:O3"/>
    <mergeCell ref="M5:O5"/>
    <mergeCell ref="M10:N10"/>
    <mergeCell ref="M11:N11"/>
    <mergeCell ref="M4:O4"/>
    <mergeCell ref="H4:I4"/>
    <mergeCell ref="C4:E4"/>
    <mergeCell ref="D5:E5"/>
    <mergeCell ref="D6:E6"/>
    <mergeCell ref="D7:E7"/>
    <mergeCell ref="C20:O20"/>
    <mergeCell ref="C37:O37"/>
    <mergeCell ref="D13:E13"/>
    <mergeCell ref="D14:E14"/>
    <mergeCell ref="D15:E15"/>
    <mergeCell ref="D16:E16"/>
    <mergeCell ref="M15:N15"/>
    <mergeCell ref="M16:N16"/>
    <mergeCell ref="D17:E17"/>
    <mergeCell ref="D18:E1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0F9D-7332-4191-8BB2-D26324601C43}">
  <sheetPr>
    <tabColor rgb="FF7030A0"/>
  </sheetPr>
  <dimension ref="C3:H18"/>
  <sheetViews>
    <sheetView workbookViewId="0">
      <pane ySplit="3" topLeftCell="A4" activePane="bottomLeft" state="frozen"/>
      <selection pane="bottomLeft" activeCell="D17" sqref="D17"/>
    </sheetView>
  </sheetViews>
  <sheetFormatPr defaultColWidth="8.77734375" defaultRowHeight="14.4" x14ac:dyDescent="0.3"/>
  <cols>
    <col min="1" max="3" width="8.77734375" style="1"/>
    <col min="4" max="4" width="10.109375" style="1" customWidth="1"/>
    <col min="5" max="5" width="9.33203125" style="1" customWidth="1"/>
    <col min="6" max="6" width="11.109375" style="1" customWidth="1"/>
    <col min="7" max="7" width="12" style="1" customWidth="1"/>
    <col min="8" max="8" width="10.109375" style="1" customWidth="1"/>
    <col min="9" max="16384" width="8.77734375" style="1"/>
  </cols>
  <sheetData>
    <row r="3" spans="3:8" x14ac:dyDescent="0.3">
      <c r="C3" s="131" t="s">
        <v>47</v>
      </c>
      <c r="D3" s="132"/>
      <c r="E3" s="132"/>
      <c r="F3" s="132"/>
      <c r="G3" s="132"/>
      <c r="H3" s="133"/>
    </row>
    <row r="4" spans="3:8" x14ac:dyDescent="0.3">
      <c r="C4" s="32"/>
      <c r="D4" s="31" t="s">
        <v>42</v>
      </c>
      <c r="E4" s="31" t="s">
        <v>43</v>
      </c>
      <c r="F4" s="31" t="s">
        <v>44</v>
      </c>
      <c r="G4" s="31" t="s">
        <v>45</v>
      </c>
      <c r="H4" s="33" t="s">
        <v>46</v>
      </c>
    </row>
    <row r="5" spans="3:8" x14ac:dyDescent="0.3">
      <c r="C5" s="34" t="s">
        <v>12</v>
      </c>
      <c r="D5" s="42">
        <f>SAVING!P22</f>
        <v>0</v>
      </c>
      <c r="E5" s="49">
        <f ca="1">SUM(INCOME!D39:O39)</f>
        <v>0</v>
      </c>
      <c r="F5" s="30"/>
      <c r="G5" s="30"/>
      <c r="H5" s="50">
        <f ca="1">SUM(D5:F5)-G5</f>
        <v>0</v>
      </c>
    </row>
    <row r="6" spans="3:8" x14ac:dyDescent="0.3">
      <c r="C6" s="34" t="s">
        <v>14</v>
      </c>
      <c r="D6" s="42">
        <f>SAVING!P23</f>
        <v>0</v>
      </c>
      <c r="E6" s="49">
        <f ca="1">SUM(INCOME!D40:O40)</f>
        <v>0</v>
      </c>
      <c r="F6" s="30"/>
      <c r="G6" s="30"/>
      <c r="H6" s="50">
        <f t="shared" ref="H6:H18" ca="1" si="0">SUM(D6:F6)-G6</f>
        <v>0</v>
      </c>
    </row>
    <row r="7" spans="3:8" x14ac:dyDescent="0.3">
      <c r="C7" s="34" t="s">
        <v>13</v>
      </c>
      <c r="D7" s="42">
        <f>SAVING!P24</f>
        <v>0</v>
      </c>
      <c r="E7" s="49">
        <f ca="1">SUM(INCOME!D41:O41)</f>
        <v>0</v>
      </c>
      <c r="F7" s="30"/>
      <c r="G7" s="30"/>
      <c r="H7" s="50">
        <f t="shared" ca="1" si="0"/>
        <v>0</v>
      </c>
    </row>
    <row r="8" spans="3:8" x14ac:dyDescent="0.3">
      <c r="C8" s="34" t="s">
        <v>15</v>
      </c>
      <c r="D8" s="42">
        <f>SAVING!P25</f>
        <v>89000</v>
      </c>
      <c r="E8" s="49">
        <f ca="1">SUM(INCOME!D42:O42)</f>
        <v>14252</v>
      </c>
      <c r="F8" s="30"/>
      <c r="G8" s="30"/>
      <c r="H8" s="50">
        <f t="shared" ca="1" si="0"/>
        <v>103252</v>
      </c>
    </row>
    <row r="9" spans="3:8" x14ac:dyDescent="0.3">
      <c r="C9" s="34" t="s">
        <v>16</v>
      </c>
      <c r="D9" s="42">
        <f>SAVING!P26</f>
        <v>0</v>
      </c>
      <c r="E9" s="49">
        <f ca="1">SUM(INCOME!D43:O43)</f>
        <v>0</v>
      </c>
      <c r="F9" s="30"/>
      <c r="G9" s="30"/>
      <c r="H9" s="50">
        <f t="shared" ca="1" si="0"/>
        <v>0</v>
      </c>
    </row>
    <row r="10" spans="3:8" x14ac:dyDescent="0.3">
      <c r="C10" s="34" t="s">
        <v>17</v>
      </c>
      <c r="D10" s="42">
        <f>SAVING!P27</f>
        <v>0</v>
      </c>
      <c r="E10" s="49">
        <f ca="1">SUM(INCOME!D44:O44)</f>
        <v>0</v>
      </c>
      <c r="F10" s="30"/>
      <c r="G10" s="30"/>
      <c r="H10" s="50">
        <f t="shared" ca="1" si="0"/>
        <v>0</v>
      </c>
    </row>
    <row r="11" spans="3:8" x14ac:dyDescent="0.3">
      <c r="C11" s="34" t="s">
        <v>18</v>
      </c>
      <c r="D11" s="42">
        <f>SAVING!P28</f>
        <v>0</v>
      </c>
      <c r="E11" s="49">
        <f ca="1">SUM(INCOME!D45:O45)</f>
        <v>0</v>
      </c>
      <c r="F11" s="30"/>
      <c r="G11" s="30"/>
      <c r="H11" s="50">
        <f t="shared" ca="1" si="0"/>
        <v>0</v>
      </c>
    </row>
    <row r="12" spans="3:8" x14ac:dyDescent="0.3">
      <c r="C12" s="34" t="s">
        <v>52</v>
      </c>
      <c r="D12" s="42">
        <f>SAVING!P29</f>
        <v>0</v>
      </c>
      <c r="E12" s="49">
        <f ca="1">SUM(INCOME!D46:O46)</f>
        <v>0</v>
      </c>
      <c r="F12" s="30"/>
      <c r="G12" s="30"/>
      <c r="H12" s="50">
        <f t="shared" ca="1" si="0"/>
        <v>0</v>
      </c>
    </row>
    <row r="13" spans="3:8" x14ac:dyDescent="0.3">
      <c r="C13" s="34" t="s">
        <v>19</v>
      </c>
      <c r="D13" s="42">
        <f>SAVING!P30</f>
        <v>0</v>
      </c>
      <c r="E13" s="49">
        <f ca="1">SUM(INCOME!D47:O47)</f>
        <v>0</v>
      </c>
      <c r="F13" s="30"/>
      <c r="G13" s="30"/>
      <c r="H13" s="50">
        <f t="shared" ca="1" si="0"/>
        <v>0</v>
      </c>
    </row>
    <row r="14" spans="3:8" x14ac:dyDescent="0.3">
      <c r="C14" s="34" t="s">
        <v>20</v>
      </c>
      <c r="D14" s="42">
        <f>SAVING!P31</f>
        <v>0</v>
      </c>
      <c r="E14" s="49">
        <f ca="1">SUM(INCOME!D48:O48)</f>
        <v>0</v>
      </c>
      <c r="F14" s="30"/>
      <c r="G14" s="30"/>
      <c r="H14" s="50">
        <f t="shared" ca="1" si="0"/>
        <v>0</v>
      </c>
    </row>
    <row r="15" spans="3:8" x14ac:dyDescent="0.3">
      <c r="C15" s="34" t="s">
        <v>21</v>
      </c>
      <c r="D15" s="42">
        <f>SAVING!P32</f>
        <v>0</v>
      </c>
      <c r="E15" s="49">
        <f ca="1">SUM(INCOME!D49:O49)</f>
        <v>0</v>
      </c>
      <c r="F15" s="30"/>
      <c r="G15" s="30"/>
      <c r="H15" s="50">
        <f t="shared" ca="1" si="0"/>
        <v>0</v>
      </c>
    </row>
    <row r="16" spans="3:8" x14ac:dyDescent="0.3">
      <c r="C16" s="34" t="s">
        <v>40</v>
      </c>
      <c r="D16" s="42">
        <f>SAVING!P33</f>
        <v>0</v>
      </c>
      <c r="E16" s="49">
        <f ca="1">SUM(INCOME!D50:O50)</f>
        <v>0</v>
      </c>
      <c r="F16" s="30"/>
      <c r="G16" s="30"/>
      <c r="H16" s="50">
        <f t="shared" ca="1" si="0"/>
        <v>0</v>
      </c>
    </row>
    <row r="17" spans="3:8" x14ac:dyDescent="0.3">
      <c r="C17" s="34" t="s">
        <v>53</v>
      </c>
      <c r="D17" s="42">
        <f>SAVING!P34</f>
        <v>0</v>
      </c>
      <c r="E17" s="49">
        <f ca="1">SUM(INCOME!D51:O51)</f>
        <v>0</v>
      </c>
      <c r="F17" s="30"/>
      <c r="G17" s="30"/>
      <c r="H17" s="50">
        <f t="shared" ca="1" si="0"/>
        <v>0</v>
      </c>
    </row>
    <row r="18" spans="3:8" x14ac:dyDescent="0.3">
      <c r="C18" s="35" t="s">
        <v>55</v>
      </c>
      <c r="D18" s="51">
        <f>SAVING!P35</f>
        <v>0</v>
      </c>
      <c r="E18" s="52">
        <f ca="1">SUM(INCOME!D52:O52)</f>
        <v>0</v>
      </c>
      <c r="F18" s="36"/>
      <c r="G18" s="36"/>
      <c r="H18" s="53">
        <f t="shared" ca="1" si="0"/>
        <v>0</v>
      </c>
    </row>
  </sheetData>
  <sheetProtection sheet="1" objects="1" scenarios="1"/>
  <mergeCells count="1">
    <mergeCell ref="C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C177-3F1E-4EFF-B9C7-7C92091968E6}">
  <sheetPr>
    <tabColor theme="5"/>
  </sheetPr>
  <dimension ref="C2:T24"/>
  <sheetViews>
    <sheetView topLeftCell="A4" workbookViewId="0">
      <selection activeCell="Q22" sqref="Q22"/>
    </sheetView>
  </sheetViews>
  <sheetFormatPr defaultRowHeight="14.4" x14ac:dyDescent="0.3"/>
  <sheetData>
    <row r="2" spans="3:20" x14ac:dyDescent="0.3">
      <c r="C2" s="134" t="s">
        <v>74</v>
      </c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3:20" x14ac:dyDescent="0.3"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</row>
    <row r="4" spans="3:20" x14ac:dyDescent="0.3">
      <c r="C4" t="s">
        <v>56</v>
      </c>
      <c r="D4">
        <v>51000</v>
      </c>
      <c r="E4">
        <v>56000</v>
      </c>
      <c r="F4">
        <v>63000</v>
      </c>
      <c r="H4">
        <v>67000</v>
      </c>
      <c r="K4">
        <v>58000</v>
      </c>
      <c r="T4" s="61"/>
    </row>
    <row r="6" spans="3:20" x14ac:dyDescent="0.3">
      <c r="C6" t="s">
        <v>60</v>
      </c>
      <c r="D6" s="61">
        <v>20000</v>
      </c>
      <c r="E6" s="61">
        <v>10000</v>
      </c>
      <c r="F6" s="61">
        <v>13000</v>
      </c>
      <c r="H6" s="61">
        <v>7000</v>
      </c>
      <c r="K6">
        <v>2000</v>
      </c>
    </row>
    <row r="8" spans="3:20" x14ac:dyDescent="0.3">
      <c r="C8" t="s">
        <v>57</v>
      </c>
      <c r="D8">
        <v>40000</v>
      </c>
      <c r="E8">
        <v>25000</v>
      </c>
      <c r="F8">
        <v>0</v>
      </c>
      <c r="H8">
        <v>60000</v>
      </c>
      <c r="K8">
        <v>50050</v>
      </c>
    </row>
    <row r="11" spans="3:20" x14ac:dyDescent="0.3">
      <c r="C11" t="s">
        <v>58</v>
      </c>
      <c r="D11">
        <v>0</v>
      </c>
      <c r="E11" s="62">
        <v>22000</v>
      </c>
      <c r="F11" s="62">
        <v>22550</v>
      </c>
      <c r="H11" s="62">
        <v>42500</v>
      </c>
      <c r="K11">
        <v>52520</v>
      </c>
    </row>
    <row r="12" spans="3:20" x14ac:dyDescent="0.3">
      <c r="R12" s="64"/>
    </row>
    <row r="13" spans="3:20" x14ac:dyDescent="0.3">
      <c r="C13" t="s">
        <v>59</v>
      </c>
      <c r="D13">
        <f>D4-D6+D8-D11</f>
        <v>71000</v>
      </c>
      <c r="E13">
        <f t="shared" ref="E13:O13" si="0">E4-E6+E8-E11</f>
        <v>49000</v>
      </c>
      <c r="F13">
        <f t="shared" si="0"/>
        <v>27450</v>
      </c>
      <c r="G13">
        <f t="shared" si="0"/>
        <v>0</v>
      </c>
      <c r="H13">
        <f t="shared" si="0"/>
        <v>77500</v>
      </c>
      <c r="I13">
        <f t="shared" si="0"/>
        <v>0</v>
      </c>
      <c r="J13">
        <f t="shared" si="0"/>
        <v>0</v>
      </c>
      <c r="K13">
        <f t="shared" si="0"/>
        <v>53530</v>
      </c>
      <c r="L13">
        <f t="shared" si="0"/>
        <v>0</v>
      </c>
      <c r="M13">
        <f t="shared" si="0"/>
        <v>0</v>
      </c>
      <c r="N13">
        <f t="shared" si="0"/>
        <v>0</v>
      </c>
      <c r="O13">
        <f t="shared" si="0"/>
        <v>0</v>
      </c>
    </row>
    <row r="15" spans="3:20" x14ac:dyDescent="0.3">
      <c r="C15" s="134" t="s">
        <v>73</v>
      </c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</row>
    <row r="17" spans="3:18" x14ac:dyDescent="0.3">
      <c r="C17" t="s">
        <v>75</v>
      </c>
      <c r="D17">
        <v>7500</v>
      </c>
      <c r="E17">
        <v>7500</v>
      </c>
      <c r="F17">
        <v>7500</v>
      </c>
      <c r="H17">
        <v>7500</v>
      </c>
      <c r="K17">
        <v>7500</v>
      </c>
      <c r="L17">
        <v>7500</v>
      </c>
    </row>
    <row r="18" spans="3:18" x14ac:dyDescent="0.3">
      <c r="C18" t="s">
        <v>76</v>
      </c>
      <c r="D18">
        <v>22000</v>
      </c>
      <c r="E18">
        <v>20000</v>
      </c>
      <c r="F18">
        <v>22000</v>
      </c>
      <c r="H18">
        <f>SUM(R9:T9)</f>
        <v>0</v>
      </c>
      <c r="L18">
        <v>24000</v>
      </c>
      <c r="P18" t="s">
        <v>84</v>
      </c>
    </row>
    <row r="19" spans="3:18" x14ac:dyDescent="0.3">
      <c r="C19" t="s">
        <v>79</v>
      </c>
      <c r="D19">
        <v>13000</v>
      </c>
      <c r="E19">
        <v>15000</v>
      </c>
      <c r="F19">
        <v>17000</v>
      </c>
      <c r="H19">
        <v>17000</v>
      </c>
      <c r="L19">
        <v>5850</v>
      </c>
    </row>
    <row r="20" spans="3:18" x14ac:dyDescent="0.3">
      <c r="C20" t="s">
        <v>77</v>
      </c>
      <c r="D20">
        <v>8000</v>
      </c>
      <c r="E20">
        <v>3000</v>
      </c>
      <c r="F20">
        <v>3000</v>
      </c>
      <c r="H20">
        <v>3500</v>
      </c>
      <c r="K20">
        <v>11250</v>
      </c>
    </row>
    <row r="21" spans="3:18" x14ac:dyDescent="0.3">
      <c r="C21" t="s">
        <v>78</v>
      </c>
      <c r="D21">
        <v>5000</v>
      </c>
      <c r="E21" s="63">
        <v>7000</v>
      </c>
      <c r="F21">
        <v>7000</v>
      </c>
      <c r="K21">
        <v>5000</v>
      </c>
    </row>
    <row r="22" spans="3:18" x14ac:dyDescent="0.3">
      <c r="C22" t="s">
        <v>83</v>
      </c>
      <c r="D22" s="63">
        <v>3000</v>
      </c>
      <c r="E22">
        <v>0</v>
      </c>
      <c r="F22">
        <v>0</v>
      </c>
      <c r="H22">
        <v>7000</v>
      </c>
      <c r="K22">
        <v>3000</v>
      </c>
    </row>
    <row r="23" spans="3:18" x14ac:dyDescent="0.3">
      <c r="C23" t="s">
        <v>80</v>
      </c>
      <c r="D23">
        <v>4000</v>
      </c>
      <c r="E23">
        <v>3000</v>
      </c>
      <c r="F23">
        <v>3000</v>
      </c>
      <c r="H23">
        <v>3000</v>
      </c>
      <c r="K23">
        <v>3000</v>
      </c>
      <c r="R23" s="60"/>
    </row>
    <row r="24" spans="3:18" x14ac:dyDescent="0.3">
      <c r="C24" s="60" t="s">
        <v>82</v>
      </c>
      <c r="D24" s="60">
        <f>D13-SUM(D17:D23)</f>
        <v>8500</v>
      </c>
      <c r="E24" s="60">
        <f t="shared" ref="E24:O24" si="1">E13-SUM(E17:E23)</f>
        <v>-6500</v>
      </c>
      <c r="F24" s="60">
        <f t="shared" si="1"/>
        <v>-32050</v>
      </c>
      <c r="G24" s="60">
        <f t="shared" si="1"/>
        <v>0</v>
      </c>
      <c r="H24" s="60">
        <f t="shared" si="1"/>
        <v>39500</v>
      </c>
      <c r="I24" s="60">
        <f t="shared" si="1"/>
        <v>0</v>
      </c>
      <c r="J24" s="60">
        <f t="shared" si="1"/>
        <v>0</v>
      </c>
      <c r="K24" s="60">
        <f t="shared" si="1"/>
        <v>23780</v>
      </c>
      <c r="L24" s="60">
        <f t="shared" si="1"/>
        <v>-37350</v>
      </c>
      <c r="M24" s="60">
        <f t="shared" si="1"/>
        <v>0</v>
      </c>
      <c r="N24" s="60">
        <f t="shared" si="1"/>
        <v>0</v>
      </c>
      <c r="O24" s="60">
        <f t="shared" si="1"/>
        <v>0</v>
      </c>
    </row>
  </sheetData>
  <mergeCells count="2">
    <mergeCell ref="C15:O15"/>
    <mergeCell ref="C2:O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SAVING</vt:lpstr>
      <vt:lpstr>Membership</vt:lpstr>
      <vt:lpstr>Loan</vt:lpstr>
      <vt:lpstr>Data Collection</vt:lpstr>
      <vt:lpstr>LOANS</vt:lpstr>
      <vt:lpstr>INCOME</vt:lpstr>
      <vt:lpstr>TAKE HOME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ilugonzo</dc:creator>
  <cp:lastModifiedBy>Isaac Lugonzo</cp:lastModifiedBy>
  <cp:revision>14</cp:revision>
  <cp:lastPrinted>2022-07-06T18:20:52Z</cp:lastPrinted>
  <dcterms:created xsi:type="dcterms:W3CDTF">2020-01-30T12:40:59Z</dcterms:created>
  <dcterms:modified xsi:type="dcterms:W3CDTF">2026-08-31T15:31:27Z</dcterms:modified>
  <dc:language>en-US</dc:language>
</cp:coreProperties>
</file>